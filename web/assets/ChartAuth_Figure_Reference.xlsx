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</Types>
</file>

<file path=_rels/.rels><?xml version='1.0' encoding='UTF-8' standalone='yes'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ure_Index" sheetId="1" state="visible" r:id="rId3"/>
    <sheet name="Costs" sheetId="2" state="visible" r:id="rId4"/>
    <sheet name="Benchmark" sheetId="3" state="visible" r:id="rId5"/>
    <sheet name="Practice_ROI" sheetId="4" state="visible" r:id="rId6"/>
    <sheet name="Scope_Metrics" sheetId="5" state="visible" r:id="rId7"/>
    <sheet name="Reference_Label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<sst xmlns="http://schemas.openxmlformats.org/spreadsheetml/2006/main" count="569" uniqueCount="461">
  <si>
    <t xml:space="preserve">ChartAuth | Every figure, with its source</t>
  </si>
  <si>
    <t xml:space="preserve">Call reference for the 3-page submission and 12-slide presentation. Click a blue source range to open its worksheet.</t>
  </si>
  <si>
    <t xml:space="preserve">Charts use editable formulas. Process diagrams use ordered labels. Blue numeric inputs are assumptions; dark outputs are calculated. No clinical-performance result is implied.</t>
  </si>
  <si>
    <t xml:space="preserve">ID</t>
  </si>
  <si>
    <t xml:space="preserve">Document</t>
  </si>
  <si>
    <t xml:space="preserve">Page</t>
  </si>
  <si>
    <t xml:space="preserve">Figure / table</t>
  </si>
  <si>
    <t xml:space="preserve">Open source range</t>
  </si>
  <si>
    <t xml:space="preserve">What to explain</t>
  </si>
  <si>
    <t xml:space="preserve">S01</t>
  </si>
  <si>
    <t xml:space="preserve">Submission</t>
  </si>
  <si>
    <t xml:space="preserve">Inspected environment contract</t>
  </si>
  <si>
    <t xml:space="preserve">Five contract elements: observation, mutable state, hidden information, lifecycle and reward.</t>
  </si>
  <si>
    <t xml:space="preserve">S02</t>
  </si>
  <si>
    <t xml:space="preserve">Shortcut, cause, repair and tradeoff</t>
  </si>
  <si>
    <t xml:space="preserve">Five failure classes, evidence status, repair layer and risk introduced by the repair.</t>
  </si>
  <si>
    <t xml:space="preserve">S03</t>
  </si>
  <si>
    <t xml:space="preserve">Six reproducible checks</t>
  </si>
  <si>
    <t xml:space="preserve">All six synthetic probes, observed binary rewards and formula-based retained precision.</t>
  </si>
  <si>
    <t xml:space="preserve">S04</t>
  </si>
  <si>
    <t xml:space="preserve">Economics and expansion cost table</t>
  </si>
  <si>
    <t xml:space="preserve">Minutes, loaded role rates, candidate labor, compute, yield and per-accepted-episode costs.</t>
  </si>
  <si>
    <t xml:space="preserve">P01</t>
  </si>
  <si>
    <t xml:space="preserve">Presentation</t>
  </si>
  <si>
    <t xml:space="preserve">Patient, response and supported next action</t>
  </si>
  <si>
    <t xml:space="preserve">Three ordered labels and their evidence relationship; a conceptual process, not measured performance.</t>
  </si>
  <si>
    <t xml:space="preserve">P02</t>
  </si>
  <si>
    <t xml:space="preserve">Executive summary metrics</t>
  </si>
  <si>
    <t xml:space="preserve">8% precision and 1,000 visits derived from six-probe data and 10 conditions × 5 services × 20 visits.</t>
  </si>
  <si>
    <t xml:space="preserve">P03</t>
  </si>
  <si>
    <t xml:space="preserve">Published analogue comparison</t>
  </si>
  <si>
    <t xml:space="preserve">Three environments, interface/state differences and the design lessons carried forward.</t>
  </si>
  <si>
    <t xml:space="preserve">P04</t>
  </si>
  <si>
    <t xml:space="preserve">Observe, act, submit and grade</t>
  </si>
  <si>
    <t xml:space="preserve">Four ordered benchmark stages; linked contract rows give 3,600-second agent and 300-second grader limits.</t>
  </si>
  <si>
    <t xml:space="preserve">P05</t>
  </si>
  <si>
    <t xml:space="preserve">Full credit at 8% precision</t>
  </si>
  <si>
    <t xml:space="preserve">Native Excel precision chart below the data uses the same three rows as the presentation.</t>
  </si>
  <si>
    <t xml:space="preserve">P06</t>
  </si>
  <si>
    <t xml:space="preserve">Where each repair belongs</t>
  </si>
  <si>
    <t xml:space="preserve">Same five repair classes as S02, including the unproven public-label retrieval route.</t>
  </si>
  <si>
    <t xml:space="preserve">P07</t>
  </si>
  <si>
    <t xml:space="preserve">Three eligibility outcome branches</t>
  </si>
  <si>
    <t xml:space="preserve">Active, inactive and member-mismatch branches with the saved benefit interpretation and next owner.</t>
  </si>
  <si>
    <t xml:space="preserve">P08</t>
  </si>
  <si>
    <t xml:space="preserve">The verifier split</t>
  </si>
  <si>
    <t xml:space="preserve">Deterministic checks, a future optional narrative rubric and specialist judgment; no invented measurements.</t>
  </si>
  <si>
    <t xml:space="preserve">P09</t>
  </si>
  <si>
    <t xml:space="preserve">Provenance and independent review</t>
  </si>
  <si>
    <t xml:space="preserve">Author, two independent reviewers, specialist adjudication and release gates. Pilot targets are in Scope_Metrics.</t>
  </si>
  <si>
    <t xml:space="preserve">P10</t>
  </si>
  <si>
    <t xml:space="preserve">Variable cost per accepted episode</t>
  </si>
  <si>
    <t xml:space="preserve">Native Excel chart uses formula results $160.29 initially and $71.58 after 500; separate setup allocation remains explicit.</t>
  </si>
  <si>
    <t xml:space="preserve">P11</t>
  </si>
  <si>
    <t xml:space="preserve">Illustrative practice business case</t>
  </si>
  <si>
    <t xml:space="preserve">Editable operating assumptions calculate $6,500 first-year net benefit, 36.1% ROI and 5.76-month payback.</t>
  </si>
  <si>
    <t xml:space="preserve">P12</t>
  </si>
  <si>
    <t xml:space="preserve">Ten-condition outcome matrix</t>
  </si>
  <si>
    <t xml:space="preserve">All ten conditions, saved assessments and next responsible teams across five service types.</t>
  </si>
  <si>
    <t xml:space="preserve">P13</t>
  </si>
  <si>
    <t xml:space="preserve">Implementation coverage counts</t>
  </si>
  <si>
    <t xml:space="preserve">84 tests, 15 deterministic checks, five services and the generated inventory calculation; no clinical accuracy claim.</t>
  </si>
  <si>
    <t xml:space="preserve">P14</t>
  </si>
  <si>
    <t xml:space="preserve">Readiness roadmap and scale</t>
  </si>
  <si>
    <t xml:space="preserve">Reference qualification, private split, production pilot and sandbox steps; 200 × 4 = 800 is an upper-bound planning calculation in Scope_Metrics.</t>
  </si>
  <si>
    <t xml:space="preserve">Coverage: every substantive table, chart, process diagram and numeric callout in the two PDFs. Logos, dividers and navigation labels are decorative and require no data.</t>
  </si>
  <si>
    <t xml:space="preserve">Notes and Presentation Guide are prose-only companions. Existing ChartAuth_Data.xlsx remains the original two-sheet model; this workbook adds complete figure navigation and call context.</t>
  </si>
  <si>
    <t xml:space="preserve">Cost per accepted episode</t>
  </si>
  <si>
    <t xml:space="preserve">Planning assumptions. Both reviewers remain in the mature process.</t>
  </si>
  <si>
    <t xml:space="preserve">Calculated result</t>
  </si>
  <si>
    <t xml:space="preserve">At start</t>
  </si>
  <si>
    <t xml:space="preserve">After 500</t>
  </si>
  <si>
    <t xml:space="preserve">Labor hours per accepted episode</t>
  </si>
  <si>
    <t xml:space="preserve">Setup allocation per accepted episode</t>
  </si>
  <si>
    <t xml:space="preserve">Allocated point cost per episode</t>
  </si>
  <si>
    <t xml:space="preserve">Variable cost = (candidate labor cost + compute) / accepted yield. These are point estimates, not a measured learning curve or a forecast average for the first 500.</t>
  </si>
  <si>
    <t xml:space="preserve">Role</t>
  </si>
  <si>
    <t xml:space="preserve">Loaded rate / hour</t>
  </si>
  <si>
    <t xml:space="preserve">Start minutes</t>
  </si>
  <si>
    <t xml:space="preserve">After 500 minutes</t>
  </si>
  <si>
    <t xml:space="preserve">Start labor</t>
  </si>
  <si>
    <t xml:space="preserve">Mature labor</t>
  </si>
  <si>
    <t xml:space="preserve">Author</t>
  </si>
  <si>
    <t xml:space="preserve">Reviewer A</t>
  </si>
  <si>
    <t xml:space="preserve">Reviewer B</t>
  </si>
  <si>
    <t xml:space="preserve">Adjudicator</t>
  </si>
  <si>
    <t xml:space="preserve">Engineering</t>
  </si>
  <si>
    <t xml:space="preserve">Compute per candidate</t>
  </si>
  <si>
    <t xml:space="preserve">Accepted yield</t>
  </si>
  <si>
    <t xml:space="preserve">Mature cost at starting accepted yield</t>
  </si>
  <si>
    <t xml:space="preserve">Setup allowance / allocation count</t>
  </si>
  <si>
    <t xml:space="preserve">Inputs are blue. Calculated outputs are dark. Source: author planning model. Real-chart access, vendor licensing, security and additional integrations need separate estimates.</t>
  </si>
  <si>
    <t xml:space="preserve">Presentation chart</t>
  </si>
  <si>
    <t xml:space="preserve">Variable cost</t>
  </si>
  <si>
    <t xml:space="preserve">What the scoring rule accepts</t>
  </si>
  <si>
    <t xml:space="preserve">Six synthetic outputs run through the unchanged Task 19 evaluator. Results describe parsing and reward behavior, not clinical correctness or agent performance.</t>
  </si>
  <si>
    <t xml:space="preserve">Probe</t>
  </si>
  <si>
    <t xml:space="preserve">Gold found</t>
  </si>
  <si>
    <t xml:space="preserve">Retained IDs</t>
  </si>
  <si>
    <t xml:space="preserve">Gold in top 50</t>
  </si>
  <si>
    <t xml:space="preserve">Observed reward</t>
  </si>
  <si>
    <t xml:space="preserve">Precision</t>
  </si>
  <si>
    <t xml:space="preserve">Gold only</t>
  </si>
  <si>
    <t xml:space="preserve">Gold + 46 incorrect</t>
  </si>
  <si>
    <t xml:space="preserve">All 301; gold first</t>
  </si>
  <si>
    <t xml:space="preserve">All 301; gold last</t>
  </si>
  <si>
    <t xml:space="preserve">Negated gold lines</t>
  </si>
  <si>
    <t xml:space="preserve">Gold + 100 unknown</t>
  </si>
  <si>
    <t xml:space="preserve">Task: clinical_trial_matching_task_19. Candidate pool: 301; eligible IDs: 4. Reward requires all four in the first 50 retained IDs. Unknown IDs are filtered before scoring.</t>
  </si>
  <si>
    <t xml:space="preserve">Pinned source: https://github.com/microsoft/HealthAgentBench/tree/bcbb8085fd549469e2dc7455f4bfd68a1b98895a/tasks/clinical_trial_matching_task_19</t>
  </si>
  <si>
    <t xml:space="preserve">Reproduce with reference/benchmark_audit/reproduce.py in the source archive. The parser extracts an NCT identifier from a sentence even when the sentence negates eligibility. Public-label retrieval was not tested.</t>
  </si>
  <si>
    <t xml:space="preserve">Separate from episode-production costs. Editable assumptions describe a future practice pilot; no savings have been achieved.</t>
  </si>
  <si>
    <t xml:space="preserve">Output / assumption</t>
  </si>
  <si>
    <t xml:space="preserve">Value</t>
  </si>
  <si>
    <t xml:space="preserve">Unit</t>
  </si>
  <si>
    <t xml:space="preserve">Meaning</t>
  </si>
  <si>
    <t xml:space="preserve">First-year net benefit</t>
  </si>
  <si>
    <t xml:space="preserve">USD</t>
  </si>
  <si>
    <t xml:space="preserve">Realized annual benefit less first-year cost.</t>
  </si>
  <si>
    <t xml:space="preserve">First-year ROI</t>
  </si>
  <si>
    <t xml:space="preserve">percent</t>
  </si>
  <si>
    <t xml:space="preserve">Net benefit divided by recurring plus implementation cost.</t>
  </si>
  <si>
    <t xml:space="preserve">Simple payback</t>
  </si>
  <si>
    <t xml:space="preserve">months</t>
  </si>
  <si>
    <t xml:space="preserve">Implementation cost divided by positive monthly net benefit.</t>
  </si>
  <si>
    <t xml:space="preserve">Annual realized benefit</t>
  </si>
  <si>
    <t xml:space="preserve">Released capacity value multiplied by economic realization.</t>
  </si>
  <si>
    <t xml:space="preserve">Total first-year cost</t>
  </si>
  <si>
    <t xml:space="preserve">Twelve months of operations plus implementation.</t>
  </si>
  <si>
    <t xml:space="preserve">Editable operating assumptions</t>
  </si>
  <si>
    <t xml:space="preserve">How to interpret</t>
  </si>
  <si>
    <t xml:space="preserve">Monthly eligibility checks</t>
  </si>
  <si>
    <t xml:space="preserve">checks / month</t>
  </si>
  <si>
    <t xml:space="preserve">Illustrative operating volume.</t>
  </si>
  <si>
    <t xml:space="preserve">Net minutes saved per check</t>
  </si>
  <si>
    <t xml:space="preserve">minutes / check</t>
  </si>
  <si>
    <t xml:space="preserve">Include review and exception handling.</t>
  </si>
  <si>
    <t xml:space="preserve">Loaded hourly labor cost</t>
  </si>
  <si>
    <t xml:space="preserve">USD / hour</t>
  </si>
  <si>
    <t xml:space="preserve">Planning input, not a measured rate.</t>
  </si>
  <si>
    <t xml:space="preserve">Economic realization</t>
  </si>
  <si>
    <t xml:space="preserve">share of capacity</t>
  </si>
  <si>
    <t xml:space="preserve">Share of capacity converted to measurable economic benefit.</t>
  </si>
  <si>
    <t xml:space="preserve">Monthly operating cost</t>
  </si>
  <si>
    <t xml:space="preserve">USD / month</t>
  </si>
  <si>
    <t xml:space="preserve">Recurring cost assumption.</t>
  </si>
  <si>
    <t xml:space="preserve">Implementation cost</t>
  </si>
  <si>
    <t xml:space="preserve">One-time setup assumption.</t>
  </si>
  <si>
    <t xml:space="preserve">Supporting calculation</t>
  </si>
  <si>
    <t xml:space="preserve">Method</t>
  </si>
  <si>
    <t xml:space="preserve">Released hours per month</t>
  </si>
  <si>
    <t xml:space="preserve">hours</t>
  </si>
  <si>
    <t xml:space="preserve">Checks × net minutes / 60.</t>
  </si>
  <si>
    <t xml:space="preserve">Capacity value per month</t>
  </si>
  <si>
    <t xml:space="preserve">Released hours × loaded hourly rate.</t>
  </si>
  <si>
    <t xml:space="preserve">Realized benefit per month</t>
  </si>
  <si>
    <t xml:space="preserve">Capacity value × realization share.</t>
  </si>
  <si>
    <t xml:space="preserve">Monthly net benefit</t>
  </si>
  <si>
    <t xml:space="preserve">Realized benefit minus recurring operating cost.</t>
  </si>
  <si>
    <t xml:space="preserve">Source: author planning model; matches presentation slide 10 and website calculator defaults. Released capacity is not automatically cash savings.</t>
  </si>
  <si>
    <t xml:space="preserve">Inventory, checks and planning targets</t>
  </si>
  <si>
    <t xml:space="preserve">Implemented counts and planning targets are distinct. All visits, payer rules and templates are fictional.</t>
  </si>
  <si>
    <t xml:space="preserve">Metric</t>
  </si>
  <si>
    <t xml:space="preserve">Unit / status</t>
  </si>
  <si>
    <t xml:space="preserve">Source / calculation</t>
  </si>
  <si>
    <t xml:space="preserve">Used in</t>
  </si>
  <si>
    <t xml:space="preserve">Full-credit probe precision</t>
  </si>
  <si>
    <t xml:space="preserve">Controlled evaluator result</t>
  </si>
  <si>
    <t xml:space="preserve">Benchmark!F7; four correct out of fifty retained.</t>
  </si>
  <si>
    <t xml:space="preserve">S03 / P02 / P05</t>
  </si>
  <si>
    <t xml:space="preserve">Operating conditions</t>
  </si>
  <si>
    <t xml:space="preserve">Implemented</t>
  </si>
  <si>
    <t xml:space="preserve">Ten explicit outcome conditions below.</t>
  </si>
  <si>
    <t xml:space="preserve">P02 / P12</t>
  </si>
  <si>
    <t xml:space="preserve">Service types</t>
  </si>
  <si>
    <t xml:space="preserve">PT, OT, office visit, specialist consultation, laboratory.</t>
  </si>
  <si>
    <t xml:space="preserve">P02 / P13</t>
  </si>
  <si>
    <t xml:space="preserve">Scenario templates</t>
  </si>
  <si>
    <t xml:space="preserve">Conditions × service types.</t>
  </si>
  <si>
    <t xml:space="preserve">Visits per template</t>
  </si>
  <si>
    <t xml:space="preserve">Generated</t>
  </si>
  <si>
    <t xml:space="preserve">Twenty bound visits per explicit template.</t>
  </si>
  <si>
    <t xml:space="preserve">Generated visits</t>
  </si>
  <si>
    <t xml:space="preserve">Fictional inventory</t>
  </si>
  <si>
    <t xml:space="preserve">Templates × visits per template.</t>
  </si>
  <si>
    <t xml:space="preserve">Reference examples</t>
  </si>
  <si>
    <t xml:space="preserve">Active, inactive and member-mismatch examples.</t>
  </si>
  <si>
    <t xml:space="preserve">Local tests</t>
  </si>
  <si>
    <t xml:space="preserve">Implementation suite</t>
  </si>
  <si>
    <t xml:space="preserve">Regression tests; not patient/clinical accuracy.</t>
  </si>
  <si>
    <t xml:space="preserve">Required checks</t>
  </si>
  <si>
    <t xml:space="preserve">Deterministic verifier</t>
  </si>
  <si>
    <t xml:space="preserve">All required checks must pass for reward 1.</t>
  </si>
  <si>
    <t xml:space="preserve">Assessment fields</t>
  </si>
  <si>
    <t xml:space="preserve">Exact fields</t>
  </si>
  <si>
    <t xml:space="preserve">Source-derived structured result fields.</t>
  </si>
  <si>
    <t xml:space="preserve">Source references</t>
  </si>
  <si>
    <t xml:space="preserve">Document bindings</t>
  </si>
  <si>
    <t xml:space="preserve">Versioned whole-document references, not semantic proof.</t>
  </si>
  <si>
    <t xml:space="preserve">Pilot size</t>
  </si>
  <si>
    <t xml:space="preserve">Proposed episodes</t>
  </si>
  <si>
    <t xml:space="preserve">Future specialist review and cost pilot.</t>
  </si>
  <si>
    <t xml:space="preserve">P09 / P14</t>
  </si>
  <si>
    <t xml:space="preserve">Response condition</t>
  </si>
  <si>
    <t xml:space="preserve">Saved assessment</t>
  </si>
  <si>
    <t xml:space="preserve">Next owner</t>
  </si>
  <si>
    <t xml:space="preserve">Clarification</t>
  </si>
  <si>
    <t xml:space="preserve">Evidence status</t>
  </si>
  <si>
    <t xml:space="preserve">Authorization required</t>
  </si>
  <si>
    <t xml:space="preserve">Active benefits</t>
  </si>
  <si>
    <t xml:space="preserve">Authorization</t>
  </si>
  <si>
    <t xml:space="preserve">Authorization handoff.</t>
  </si>
  <si>
    <t xml:space="preserve">Fictional rule</t>
  </si>
  <si>
    <t xml:space="preserve">Authorization not required</t>
  </si>
  <si>
    <t xml:space="preserve">Scheduling</t>
  </si>
  <si>
    <t xml:space="preserve">Visit readiness.</t>
  </si>
  <si>
    <t xml:space="preserve">Out of network</t>
  </si>
  <si>
    <t xml:space="preserve">Benefits preserved</t>
  </si>
  <si>
    <t xml:space="preserve">Benefits</t>
  </si>
  <si>
    <t xml:space="preserve">Network review.</t>
  </si>
  <si>
    <t xml:space="preserve">Authorization status missing</t>
  </si>
  <si>
    <t xml:space="preserve">Unknown authorization</t>
  </si>
  <si>
    <t xml:space="preserve">Clarify authorization.</t>
  </si>
  <si>
    <t xml:space="preserve">Cost share missing</t>
  </si>
  <si>
    <t xml:space="preserve">Unknown cost share</t>
  </si>
  <si>
    <t xml:space="preserve">Clarify cost share.</t>
  </si>
  <si>
    <t xml:space="preserve">Inactive coverage</t>
  </si>
  <si>
    <t xml:space="preserve">Inactive; benefits unknown</t>
  </si>
  <si>
    <t xml:space="preserve">Registration</t>
  </si>
  <si>
    <t xml:space="preserve">Obtain updated coverage.</t>
  </si>
  <si>
    <t xml:space="preserve">Member mismatch</t>
  </si>
  <si>
    <t xml:space="preserve">Identity issue; benefits unknown</t>
  </si>
  <si>
    <t xml:space="preserve">Resolve identity.</t>
  </si>
  <si>
    <t xml:space="preserve">Service-date mismatch</t>
  </si>
  <si>
    <t xml:space="preserve">Scope issue; benefits unknown</t>
  </si>
  <si>
    <t xml:space="preserve">Clarify response scope.</t>
  </si>
  <si>
    <t xml:space="preserve">Payer mismatch</t>
  </si>
  <si>
    <t xml:space="preserve">Coverage unknown</t>
  </si>
  <si>
    <t xml:space="preserve">Benefits unknown</t>
  </si>
  <si>
    <t xml:space="preserve">Clarify coverage.</t>
  </si>
  <si>
    <t xml:space="preserve">Planning / lifecycle item</t>
  </si>
  <si>
    <t xml:space="preserve">Interpretation</t>
  </si>
  <si>
    <t xml:space="preserve">Source</t>
  </si>
  <si>
    <t xml:space="preserve">Raw agreement target</t>
  </si>
  <si>
    <t xml:space="preserve">share</t>
  </si>
  <si>
    <t xml:space="preserve">Measured before adjudication; not an achieved result.</t>
  </si>
  <si>
    <t xml:space="preserve">Cohen kappa target</t>
  </si>
  <si>
    <t xml:space="preserve">coefficient</t>
  </si>
  <si>
    <t xml:space="preserve">Prevalence-sensitive; can be undefined in single-class cases.</t>
  </si>
  <si>
    <t xml:space="preserve">Workflow target</t>
  </si>
  <si>
    <t xml:space="preserve">workflows</t>
  </si>
  <si>
    <t xml:space="preserve">Planning scope; not implemented workflow count.</t>
  </si>
  <si>
    <t xml:space="preserve">EHR interfaces</t>
  </si>
  <si>
    <t xml:space="preserve">systems</t>
  </si>
  <si>
    <t xml:space="preserve">Hypothetical interface count for scaling.</t>
  </si>
  <si>
    <t xml:space="preserve">Possible combinations</t>
  </si>
  <si>
    <t xml:space="preserve">upper bound</t>
  </si>
  <si>
    <t xml:space="preserve">Workflow target × EHR interfaces.</t>
  </si>
  <si>
    <t xml:space="preserve">Action budget</t>
  </si>
  <si>
    <t xml:space="preserve">actions</t>
  </si>
  <si>
    <t xml:space="preserve">Enforced by action requests in current sample.</t>
  </si>
  <si>
    <t xml:space="preserve">Source contract</t>
  </si>
  <si>
    <t xml:space="preserve">Episode budget</t>
  </si>
  <si>
    <t xml:space="preserve">seconds</t>
  </si>
  <si>
    <t xml:space="preserve">Ten minutes; distinct from hosted storage expiry.</t>
  </si>
  <si>
    <t xml:space="preserve">Process diagrams and comparison tables</t>
  </si>
  <si>
    <t xml:space="preserve">Ordered process labels and qualitative findings. These are structured references, not numerical measurements.</t>
  </si>
  <si>
    <t xml:space="preserve">Environment element</t>
  </si>
  <si>
    <t xml:space="preserve">Visible / mutable state</t>
  </si>
  <si>
    <t xml:space="preserve">Contract</t>
  </si>
  <si>
    <t xml:space="preserve">Limit or interpretation</t>
  </si>
  <si>
    <t xml:space="preserve">Observations</t>
  </si>
  <si>
    <t xml:space="preserve">Patient note, topic, trial XML</t>
  </si>
  <si>
    <t xml:space="preserve">Staged in workspace</t>
  </si>
  <si>
    <t xml:space="preserve">Static source inspection; full harness not run.</t>
  </si>
  <si>
    <t xml:space="preserve">HealthAgentBench Task 19</t>
  </si>
  <si>
    <t xml:space="preserve">Actions and state</t>
  </si>
  <si>
    <t xml:space="preserve">Terminal reads, scripts, submission files</t>
  </si>
  <si>
    <t xml:space="preserve">Files and processes can change; data mount writable</t>
  </si>
  <si>
    <t xml:space="preserve">No modeled care transaction.</t>
  </si>
  <si>
    <t xml:space="preserve">Pinned environment and bootstrap</t>
  </si>
  <si>
    <t xml:space="preserve">Hidden information</t>
  </si>
  <si>
    <t xml:space="preserve">Gold labels and grader intended separate</t>
  </si>
  <si>
    <t xml:space="preserve">Isolation is intended, not independently demonstrated</t>
  </si>
  <si>
    <t xml:space="preserve">Actual sandbox permissions require a test.</t>
  </si>
  <si>
    <t xml:space="preserve">Pinned compose and config</t>
  </si>
  <si>
    <t xml:space="preserve">Initialization / termination</t>
  </si>
  <si>
    <t xml:space="preserve">Bootstrap stages input files</t>
  </si>
  <si>
    <t xml:space="preserve">3,600 seconds for agent; 300 seconds for grader</t>
  </si>
  <si>
    <t xml:space="preserve">Configured values, not observed lifecycle behavior.</t>
  </si>
  <si>
    <t xml:space="preserve">Pinned Task 19 config</t>
  </si>
  <si>
    <t xml:space="preserve">Success</t>
  </si>
  <si>
    <t xml:space="preserve">Four gold IDs in first 50 retained predictions</t>
  </si>
  <si>
    <t xml:space="preserve">Deduplicate; drop IDs outside candidate pool</t>
  </si>
  <si>
    <t xml:space="preserve">Precision is reported but does not gate binary reward.</t>
  </si>
  <si>
    <t xml:space="preserve">Pinned Task 19 evaluator</t>
  </si>
  <si>
    <t xml:space="preserve">Shortcut</t>
  </si>
  <si>
    <t xml:space="preserve">Why accepted</t>
  </si>
  <si>
    <t xml:space="preserve">Repair layer</t>
  </si>
  <si>
    <t xml:space="preserve">New risk</t>
  </si>
  <si>
    <t xml:space="preserve">Too many trial IDs</t>
  </si>
  <si>
    <t xml:space="preserve">Top-50 gold recall controls reward</t>
  </si>
  <si>
    <t xml:space="preserve">Reward: align acceptance with intended set</t>
  </si>
  <si>
    <t xml:space="preserve">Wrong or incomplete reference can cause false failures.</t>
  </si>
  <si>
    <t xml:space="preserve">Demonstrated</t>
  </si>
  <si>
    <t xml:space="preserve">Negated / unrelated text</t>
  </si>
  <si>
    <t xml:space="preserve">Parser finds an ID substring</t>
  </si>
  <si>
    <t xml:space="preserve">Deterministic parser: require documented format</t>
  </si>
  <si>
    <t xml:space="preserve">Benign formatting can fail.</t>
  </si>
  <si>
    <t xml:space="preserve">Unknown IDs</t>
  </si>
  <si>
    <t xml:space="preserve">Unknown IDs disappear before scoring</t>
  </si>
  <si>
    <t xml:space="preserve">Validate against a versioned candidate pool</t>
  </si>
  <si>
    <t xml:space="preserve">Stale pool rejects valid choices.</t>
  </si>
  <si>
    <t xml:space="preserve">Correct IDs without support</t>
  </si>
  <si>
    <t xml:space="preserve">Criterion-level evidence is not required</t>
  </si>
  <si>
    <t xml:space="preserve">State and rubric: source-linked facts</t>
  </si>
  <si>
    <t xml:space="preserve">Irrelevant citations can appear valid.</t>
  </si>
  <si>
    <t xml:space="preserve">Accepted by construction</t>
  </si>
  <si>
    <t xml:space="preserve">Public answer retrieval</t>
  </si>
  <si>
    <t xml:space="preserve">Internet enabled and public materials</t>
  </si>
  <si>
    <t xml:space="preserve">Permissions and private held-out cases</t>
  </si>
  <si>
    <t xml:space="preserve">Isolation can block legitimate resources.</t>
  </si>
  <si>
    <t xml:space="preserve">Threat; not demonstrated</t>
  </si>
  <si>
    <t xml:space="preserve">Step / node</t>
  </si>
  <si>
    <t xml:space="preserve">Label</t>
  </si>
  <si>
    <t xml:space="preserve">Next relationship</t>
  </si>
  <si>
    <t xml:space="preserve">1</t>
  </si>
  <si>
    <t xml:space="preserve">Patient and visit</t>
  </si>
  <si>
    <t xml:space="preserve">Who needs care, and when?</t>
  </si>
  <si>
    <t xml:space="preserve">Bind current payer response to same person and visit.</t>
  </si>
  <si>
    <t xml:space="preserve">Conceptual diagram</t>
  </si>
  <si>
    <t xml:space="preserve">2</t>
  </si>
  <si>
    <t xml:space="preserve">Payer response</t>
  </si>
  <si>
    <t xml:space="preserve">Current eligibility and benefits</t>
  </si>
  <si>
    <t xml:space="preserve">Use only supported facts for current inquiry and date.</t>
  </si>
  <si>
    <t xml:space="preserve">3</t>
  </si>
  <si>
    <t xml:space="preserve">Supported next action</t>
  </si>
  <si>
    <t xml:space="preserve">A saved result with a responsible team</t>
  </si>
  <si>
    <t xml:space="preserve">Completion requires persisted record and supported handoff.</t>
  </si>
  <si>
    <t xml:space="preserve">Design</t>
  </si>
  <si>
    <t xml:space="preserve">Interface and state</t>
  </si>
  <si>
    <t xml:space="preserve">Lesson carried forward</t>
  </si>
  <si>
    <t xml:space="preserve">Inspection boundary</t>
  </si>
  <si>
    <t xml:space="preserve">Patient / trial documents; terminal; scored file</t>
  </si>
  <si>
    <t xml:space="preserve">Align active reward with written instruction</t>
  </si>
  <si>
    <t xml:space="preserve">Static inspection plus six controlled evaluator probes.</t>
  </si>
  <si>
    <t xml:space="preserve">Pinned Task 19</t>
  </si>
  <si>
    <t xml:space="preserve">MedAgentBench</t>
  </si>
  <si>
    <t xml:space="preserve">GET, POST and FINISH around structured EHR</t>
  </si>
  <si>
    <t xml:space="preserve">Verify actual persisted state</t>
  </si>
  <si>
    <t xml:space="preserve">Inspected POST branch does not send HTTP POST; separate reference checks not inspected.</t>
  </si>
  <si>
    <t xml:space="preserve">Pinned interaction branch</t>
  </si>
  <si>
    <t xml:space="preserve">HealthAdminBench</t>
  </si>
  <si>
    <t xml:space="preserve">Browser workflows, exact checks, judgment rubrics</t>
  </si>
  <si>
    <t xml:space="preserve">Separate state facts from interpretation</t>
  </si>
  <si>
    <t xml:space="preserve">Design comparison; no cross-project model ranking.</t>
  </si>
  <si>
    <t xml:space="preserve">Research paper</t>
  </si>
  <si>
    <t xml:space="preserve">Order</t>
  </si>
  <si>
    <t xml:space="preserve">Stage</t>
  </si>
  <si>
    <t xml:space="preserve">Input / action</t>
  </si>
  <si>
    <t xml:space="preserve">Output / requirement</t>
  </si>
  <si>
    <t xml:space="preserve">Observe</t>
  </si>
  <si>
    <t xml:space="preserve">Read patient note and trial XML</t>
  </si>
  <si>
    <t xml:space="preserve">Candidate clinical-document context</t>
  </si>
  <si>
    <t xml:space="preserve">Environment contract</t>
  </si>
  <si>
    <t xml:space="preserve">Act</t>
  </si>
  <si>
    <t xml:space="preserve">Read, script and write files</t>
  </si>
  <si>
    <t xml:space="preserve">Mutable workspace and processes</t>
  </si>
  <si>
    <t xml:space="preserve">Submit</t>
  </si>
  <si>
    <t xml:space="preserve">Ordered list of NCT IDs</t>
  </si>
  <si>
    <t xml:space="preserve">A submission file</t>
  </si>
  <si>
    <t xml:space="preserve">Task instruction</t>
  </si>
  <si>
    <t xml:space="preserve">4</t>
  </si>
  <si>
    <t xml:space="preserve">Grade</t>
  </si>
  <si>
    <t xml:space="preserve">Evaluate retained predictions</t>
  </si>
  <si>
    <t xml:space="preserve">Four gold IDs within first 50 gives reward 1</t>
  </si>
  <si>
    <t xml:space="preserve">Pinned evaluator</t>
  </si>
  <si>
    <t xml:space="preserve">Branch</t>
  </si>
  <si>
    <t xml:space="preserve">Decisive response fact</t>
  </si>
  <si>
    <t xml:space="preserve">Saved result</t>
  </si>
  <si>
    <t xml:space="preserve">Next responsible team</t>
  </si>
  <si>
    <t xml:space="preserve">Boundary</t>
  </si>
  <si>
    <t xml:space="preserve">A / Active coverage</t>
  </si>
  <si>
    <t xml:space="preserve">Matching member/date; active coverage</t>
  </si>
  <si>
    <t xml:space="preserve">In-network, $30 copay; authorization required</t>
  </si>
  <si>
    <t xml:space="preserve">Eligibility does not grant authorization or guarantee payment.</t>
  </si>
  <si>
    <t xml:space="preserve">B / Inactive coverage</t>
  </si>
  <si>
    <t xml:space="preserve">Coverage status changed to inactive</t>
  </si>
  <si>
    <t xml:space="preserve">Coverage issue; unusable benefits unknown</t>
  </si>
  <si>
    <t xml:space="preserve">Request updated coverage.</t>
  </si>
  <si>
    <t xml:space="preserve">C / Member mismatch</t>
  </si>
  <si>
    <t xml:space="preserve">Returned member ID differs</t>
  </si>
  <si>
    <t xml:space="preserve">Identity issue; coverage and benefits unknown</t>
  </si>
  <si>
    <t xml:space="preserve">Favorable benefits cannot confirm another patient.</t>
  </si>
  <si>
    <t xml:space="preserve">Layer</t>
  </si>
  <si>
    <t xml:space="preserve">What belongs here</t>
  </si>
  <si>
    <t xml:space="preserve">Decision authority</t>
  </si>
  <si>
    <t xml:space="preserve">Current vs future</t>
  </si>
  <si>
    <t xml:space="preserve">Deterministic</t>
  </si>
  <si>
    <t xml:space="preserve">Identity, exact fields, source versions, response links, record, events</t>
  </si>
  <si>
    <t xml:space="preserve">All required checks pass for reward 1</t>
  </si>
  <si>
    <t xml:space="preserve">Implemented: 15 checks, 14 fields, 5 source references</t>
  </si>
  <si>
    <t xml:space="preserve">Document integrity does not establish truth.</t>
  </si>
  <si>
    <t xml:space="preserve">Optional narrative rubric</t>
  </si>
  <si>
    <t xml:space="preserve">Claim support, contradictions, handoff usefulness</t>
  </si>
  <si>
    <t xml:space="preserve">0 unsupported; 1 incomplete; 2 complete and supported</t>
  </si>
  <si>
    <t xml:space="preserve">Future extension; current structured output needs no narrative judge</t>
  </si>
  <si>
    <t xml:space="preserve">Cannot override hard identity/transaction failures.</t>
  </si>
  <si>
    <t xml:space="preserve">Human / assisted judgment</t>
  </si>
  <si>
    <t xml:space="preserve">Ambiguous chart meaning, disputed labels, policy</t>
  </si>
  <si>
    <t xml:space="preserve">Specialist adjudication establishes or repairs reference</t>
  </si>
  <si>
    <t xml:space="preserve">Specialist validation remains future work</t>
  </si>
  <si>
    <t xml:space="preserve">A calibrated model could triage narrative, not overrule hard failures.</t>
  </si>
  <si>
    <t xml:space="preserve">Owner</t>
  </si>
  <si>
    <t xml:space="preserve">Action</t>
  </si>
  <si>
    <t xml:space="preserve">Release relationship</t>
  </si>
  <si>
    <t xml:space="preserve">Freeze source and map expected output to evidence</t>
  </si>
  <si>
    <t xml:space="preserve">Both reviewers receive same versioned case</t>
  </si>
  <si>
    <t xml:space="preserve">Proposed production process</t>
  </si>
  <si>
    <t xml:space="preserve">2A</t>
  </si>
  <si>
    <t xml:space="preserve">Label independently</t>
  </si>
  <si>
    <t xml:space="preserve">Do not view reviewer B answer</t>
  </si>
  <si>
    <t xml:space="preserve">2B</t>
  </si>
  <si>
    <t xml:space="preserve">Do not view reviewer A answer</t>
  </si>
  <si>
    <t xml:space="preserve">Specialist adjudication</t>
  </si>
  <si>
    <t xml:space="preserve">Resolve conflicts with rationale</t>
  </si>
  <si>
    <t xml:space="preserve">Quarantine unresolved cases</t>
  </si>
  <si>
    <t xml:space="preserve">Release gates</t>
  </si>
  <si>
    <t xml:space="preserve">Reference passes; critical mutations fail</t>
  </si>
  <si>
    <t xml:space="preserve">Authorized source/privacy review; coherent dates; reset checks</t>
  </si>
  <si>
    <t xml:space="preserve">Sequence</t>
  </si>
  <si>
    <t xml:space="preserve">Decision / action</t>
  </si>
  <si>
    <t xml:space="preserve">Purpose</t>
  </si>
  <si>
    <t xml:space="preserve">Measure or boundary</t>
  </si>
  <si>
    <t xml:space="preserve">Qualify references</t>
  </si>
  <si>
    <t xml:space="preserve">Specialist reviews every reference and template</t>
  </si>
  <si>
    <t xml:space="preserve">Wrong reference can reward wrong behavior.</t>
  </si>
  <si>
    <t xml:space="preserve">Future</t>
  </si>
  <si>
    <t xml:space="preserve">Add missing / ambiguous responses</t>
  </si>
  <si>
    <t xml:space="preserve">Define supported completion and escalation</t>
  </si>
  <si>
    <t xml:space="preserve">No-response and ambiguity coverage.</t>
  </si>
  <si>
    <t xml:space="preserve">Private case-family split</t>
  </si>
  <si>
    <t xml:space="preserve">Keep related examples together</t>
  </si>
  <si>
    <t xml:space="preserve">Avoid memorization and label leakage claims.</t>
  </si>
  <si>
    <t xml:space="preserve">50-episode review and cost pilot</t>
  </si>
  <si>
    <t xml:space="preserve">Measure reviewer agreement, effort and yield</t>
  </si>
  <si>
    <t xml:space="preserve">95% raw agreement and kappa ≥0.80 are proposed targets.</t>
  </si>
  <si>
    <t xml:space="preserve">5</t>
  </si>
  <si>
    <t xml:space="preserve">Critical-error and escalation review</t>
  </si>
  <si>
    <t xml:space="preserve">Inspect false passes and unresolved cases</t>
  </si>
  <si>
    <t xml:space="preserve">Qualify reward before optimization.</t>
  </si>
  <si>
    <t xml:space="preserve">6</t>
  </si>
  <si>
    <t xml:space="preserve">Test actual agent sandbox</t>
  </si>
  <si>
    <t xml:space="preserve">Verify reset, permissions and protected grading</t>
  </si>
  <si>
    <t xml:space="preserve">Current public demo is not a full autonomous-agent sandbox.</t>
  </si>
  <si>
    <t xml:space="preserve">7</t>
  </si>
  <si>
    <t xml:space="preserve">Shared rules + versioned adapters</t>
  </si>
  <si>
    <t xml:space="preserve">Prepare for 200 workflows across four EHRs</t>
  </si>
  <si>
    <t xml:space="preserve">Up to 800 combinations; not current implemented scale.</t>
  </si>
  <si>
    <t xml:space="preserve">Planning upper bound</t>
  </si>
  <si>
    <t xml:space="preserve">Primary evidence: research sources in the submission and presentation speaker notes; executable implementation and reference/benchmark_audit/reproduce.py in ChartAuth_Source.zip.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</si>
</sst>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&quot; hours&quot;"/>
    <numFmt numFmtId="166" formatCode="\$#,##0.00"/>
    <numFmt numFmtId="167" formatCode="0%"/>
    <numFmt numFmtId="168" formatCode="0"/>
    <numFmt numFmtId="169" formatCode="\$0"/>
    <numFmt numFmtId="170" formatCode="0.00%"/>
    <numFmt numFmtId="171" formatCode="\$#,##0"/>
    <numFmt numFmtId="172" formatCode="0.0%"/>
    <numFmt numFmtId="173" formatCode="0.00"/>
    <numFmt numFmtId="174" formatCode="\$0.00"/>
    <numFmt numFmtId="175" formatCode="#,##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9"/>
      <color rgb="FFFFFDF8"/>
      <name val="Lora"/>
      <family val="0"/>
      <charset val="1"/>
    </font>
    <font>
      <sz val="11"/>
      <color rgb="FF14271B"/>
      <name val="arial"/>
      <family val="0"/>
      <charset val="1"/>
    </font>
    <font>
      <b val="true"/>
      <sz val="11"/>
      <color rgb="FF14271B"/>
      <name val="arial"/>
      <family val="0"/>
      <charset val="1"/>
    </font>
    <font>
      <sz val="11"/>
      <color rgb="FF2855AA"/>
      <name val="arial"/>
      <family val="0"/>
      <charset val="1"/>
    </font>
    <font>
      <b val="true"/>
      <sz val="14.25"/>
      <color rgb="FF000000"/>
      <name val="Lora"/>
      <family val="2"/>
    </font>
    <font>
      <sz val="8.2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4271B"/>
        <bgColor rgb="FF333333"/>
      </patternFill>
    </fill>
    <fill>
      <patternFill patternType="solid">
        <fgColor rgb="FFFFFDF8"/>
        <bgColor rgb="FFF2F5EF"/>
      </patternFill>
    </fill>
    <fill>
      <patternFill patternType="solid">
        <fgColor rgb="FFE9EEE7"/>
        <bgColor rgb="FFF2F5EF"/>
      </patternFill>
    </fill>
    <fill>
      <patternFill patternType="solid">
        <fgColor rgb="FFF2F5EF"/>
        <bgColor rgb="FFE9EEE7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6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6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6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6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D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993366"/>
      <rgbColor rgb="FFF2F5EF"/>
      <rgbColor rgb="FFE9EE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D6C54"/>
      <rgbColor rgb="FF969696"/>
      <rgbColor rgb="FF003366"/>
      <rgbColor rgb="FF339966"/>
      <rgbColor rgb="FF14271B"/>
      <rgbColor rgb="FF333300"/>
      <rgbColor rgb="FF993300"/>
      <rgbColor rgb="FF993366"/>
      <rgbColor rgb="FF2855AA"/>
      <rgbColor rgb="FF333333"/>
    </indexedColors>
  </color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'1.0' encoding='UTF-8' standalone='yes'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'1.0' encoding='UTF-8' standalone='yes'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25" b="1" u="none" strike="noStrike">
                <a:solidFill>
                  <a:srgbClr val="000000"/>
                </a:solidFill>
                <a:uFillTx/>
                <a:latin typeface="Lora"/>
                <a:ea typeface="Lora"/>
              </a:rPr>
              <a:t>Variable cost per accepted episode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"Variable cost"</c:f>
              <c:strCache>
                <c:ptCount val="1"/>
                <c:pt idx="0">
                  <c:v>Variable cost</c:v>
                </c:pt>
              </c:strCache>
            </c:strRef>
          </c:tx>
          <c:spPr>
            <a:solidFill>
              <a:srgbClr val="3D6C5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Costs!$A$31:$A$32</c:f>
              <c:strCache>
                <c:ptCount val="2"/>
                <c:pt idx="0">
                  <c:v>At start</c:v>
                </c:pt>
                <c:pt idx="1">
                  <c:v>After 500</c:v>
                </c:pt>
              </c:strCache>
            </c:strRef>
          </c:cat>
          <c:val>
            <c:numRef>
              <c:f>Costs!$B$31:$B$32</c:f>
              <c:numCache>
                <c:formatCode>\$#,##0.00</c:formatCode>
                <c:ptCount val="2"/>
                <c:pt idx="0">
                  <c:v>160.294117647059</c:v>
                </c:pt>
                <c:pt idx="1">
                  <c:v>71.5789473684211</c:v>
                </c:pt>
              </c:numCache>
            </c:numRef>
          </c:val>
        </c:ser>
        <c:gapWidth val="150"/>
        <c:overlap val="0"/>
        <c:axId val="66386353"/>
        <c:axId val="51863389"/>
      </c:barChart>
      <c:catAx>
        <c:axId val="66386353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1863389"/>
        <c:crosses val="autoZero"/>
        <c:auto val="1"/>
        <c:lblAlgn val="ctr"/>
        <c:lblOffset val="100"/>
        <c:noMultiLvlLbl val="0"/>
      </c:catAx>
      <c:valAx>
        <c:axId val="5186338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6386353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25" b="1" u="none" strike="noStrike">
                <a:solidFill>
                  <a:srgbClr val="000000"/>
                </a:solidFill>
                <a:uFillTx/>
                <a:latin typeface="Lora"/>
                <a:ea typeface="Lora"/>
              </a:rPr>
              <a:t>Precision in full-credit submissions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3D6C5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Benchmark!$A$6:$A$8</c:f>
              <c:strCache>
                <c:ptCount val="3"/>
                <c:pt idx="0">
                  <c:v>Gold only</c:v>
                </c:pt>
                <c:pt idx="1">
                  <c:v>Gold + 46 incorrect</c:v>
                </c:pt>
                <c:pt idx="2">
                  <c:v>All 301; gold first</c:v>
                </c:pt>
              </c:strCache>
            </c:strRef>
          </c:cat>
          <c:val>
            <c:numRef>
              <c:f>Benchmark!$F$6:$F$8</c:f>
              <c:numCache>
                <c:formatCode>0.00%</c:formatCode>
                <c:ptCount val="3"/>
                <c:pt idx="0">
                  <c:v>1</c:v>
                </c:pt>
                <c:pt idx="1">
                  <c:v>0.08</c:v>
                </c:pt>
                <c:pt idx="2">
                  <c:v>0.0132890365448505</c:v>
                </c:pt>
              </c:numCache>
            </c:numRef>
          </c:val>
        </c:ser>
        <c:gapWidth val="150"/>
        <c:overlap val="0"/>
        <c:axId val="60271054"/>
        <c:axId val="31721553"/>
      </c:barChart>
      <c:catAx>
        <c:axId val="6027105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1721553"/>
        <c:crosses val="autoZero"/>
        <c:auto val="1"/>
        <c:lblAlgn val="ctr"/>
        <c:lblOffset val="100"/>
        <c:noMultiLvlLbl val="0"/>
      </c:catAx>
      <c:valAx>
        <c:axId val="3172155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0271054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'1.0' encoding='UTF-8' standalone='yes'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34</xdr:row>
      <xdr:rowOff>0</xdr:rowOff>
    </xdr:from>
    <xdr:to>
      <xdr:col>5</xdr:col>
      <xdr:colOff>1479960</xdr:colOff>
      <xdr:row>50</xdr:row>
      <xdr:rowOff>317160</xdr:rowOff>
    </xdr:to>
    <xdr:graphicFrame>
      <xdr:nvGraphicFramePr>
        <xdr:cNvPr id="1" name="Chart"/>
        <xdr:cNvGraphicFramePr/>
      </xdr:nvGraphicFramePr>
      <xdr:xfrm>
        <a:off x="0" y="12903120"/>
        <a:ext cx="9515160" cy="539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5</xdr:col>
      <xdr:colOff>1479960</xdr:colOff>
      <xdr:row>43</xdr:row>
      <xdr:rowOff>317160</xdr:rowOff>
    </xdr:to>
    <xdr:graphicFrame>
      <xdr:nvGraphicFramePr>
        <xdr:cNvPr id="2" name="Chart"/>
        <xdr:cNvGraphicFramePr/>
      </xdr:nvGraphicFramePr>
      <xdr:xfrm>
        <a:off x="0" y="10058400"/>
        <a:ext cx="9515160" cy="603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rtAuth">
  <a:themeElements>
    <a:clrScheme name="ChartAuth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55AA"/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3"/>
    <col collapsed="false" customWidth="true" hidden="false" outlineLevel="0" max="3" min="3" style="0" width="8"/>
    <col collapsed="false" customWidth="true" hidden="false" outlineLevel="0" max="4" min="4" style="0" width="35"/>
    <col collapsed="false" customWidth="true" hidden="false" outlineLevel="0" max="5" min="5" style="0" width="26"/>
    <col collapsed="false" customWidth="true" hidden="false" outlineLevel="0" max="6" min="6" style="0" width="68"/>
  </cols>
  <sheetData>
    <row r="1" customFormat="false" ht="39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2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4" hidden="false" customHeight="true" outlineLevel="0" collapsed="false">
      <c r="A3" s="2" t="s">
        <v>2</v>
      </c>
      <c r="B3" s="2"/>
      <c r="C3" s="2"/>
      <c r="D3" s="2"/>
      <c r="E3" s="2"/>
      <c r="F3" s="2"/>
    </row>
    <row r="4" customFormat="false" ht="32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</row>
    <row r="5" customFormat="false" ht="68" hidden="false" customHeight="true" outlineLevel="0" collapsed="false">
      <c r="A5" s="2" t="s">
        <v>9</v>
      </c>
      <c r="B5" s="2" t="s">
        <v>10</v>
      </c>
      <c r="C5" s="2" t="n">
        <v>1</v>
      </c>
      <c r="D5" s="2" t="s">
        <v>11</v>
      </c>
      <c r="E5" s="4" t="str">
        <f aca="false">HYPERLINK("#'Reference_Labels'!A5","Reference_Labels · A5:E10")</f>
        <v>Reference_Labels · A5:E10</v>
      </c>
      <c r="F5" s="2" t="s">
        <v>12</v>
      </c>
    </row>
    <row r="6" customFormat="false" ht="68" hidden="false" customHeight="true" outlineLevel="0" collapsed="false">
      <c r="A6" s="5" t="s">
        <v>13</v>
      </c>
      <c r="B6" s="5" t="s">
        <v>10</v>
      </c>
      <c r="C6" s="5" t="n">
        <v>2</v>
      </c>
      <c r="D6" s="5" t="s">
        <v>14</v>
      </c>
      <c r="E6" s="6" t="str">
        <f aca="false">HYPERLINK("#'Reference_Labels'!A14","Reference_Labels · A14:E19")</f>
        <v>Reference_Labels · A14:E19</v>
      </c>
      <c r="F6" s="5" t="s">
        <v>15</v>
      </c>
    </row>
    <row r="7" customFormat="false" ht="68" hidden="false" customHeight="true" outlineLevel="0" collapsed="false">
      <c r="A7" s="2" t="s">
        <v>16</v>
      </c>
      <c r="B7" s="2" t="s">
        <v>10</v>
      </c>
      <c r="C7" s="2" t="n">
        <v>2</v>
      </c>
      <c r="D7" s="2" t="s">
        <v>17</v>
      </c>
      <c r="E7" s="4" t="str">
        <f aca="false">HYPERLINK("#'Benchmark'!A5","Benchmark · A5:F11")</f>
        <v>Benchmark · A5:F11</v>
      </c>
      <c r="F7" s="2" t="s">
        <v>18</v>
      </c>
    </row>
    <row r="8" customFormat="false" ht="68" hidden="false" customHeight="true" outlineLevel="0" collapsed="false">
      <c r="A8" s="5" t="s">
        <v>19</v>
      </c>
      <c r="B8" s="5" t="s">
        <v>10</v>
      </c>
      <c r="C8" s="5" t="n">
        <v>3</v>
      </c>
      <c r="D8" s="5" t="s">
        <v>20</v>
      </c>
      <c r="E8" s="6" t="str">
        <f aca="false">HYPERLINK("#'Costs'!A4","Costs · A4:F24")</f>
        <v>Costs · A4:F24</v>
      </c>
      <c r="F8" s="5" t="s">
        <v>21</v>
      </c>
    </row>
    <row r="9" customFormat="false" ht="68" hidden="false" customHeight="true" outlineLevel="0" collapsed="false">
      <c r="A9" s="2" t="s">
        <v>22</v>
      </c>
      <c r="B9" s="2" t="s">
        <v>23</v>
      </c>
      <c r="C9" s="2" t="n">
        <v>1</v>
      </c>
      <c r="D9" s="2" t="s">
        <v>24</v>
      </c>
      <c r="E9" s="4" t="str">
        <f aca="false">HYPERLINK("#'Reference_Labels'!A23","Reference_Labels · A23:E26")</f>
        <v>Reference_Labels · A23:E26</v>
      </c>
      <c r="F9" s="2" t="s">
        <v>25</v>
      </c>
    </row>
    <row r="10" customFormat="false" ht="68" hidden="false" customHeight="true" outlineLevel="0" collapsed="false">
      <c r="A10" s="5" t="s">
        <v>26</v>
      </c>
      <c r="B10" s="5" t="s">
        <v>23</v>
      </c>
      <c r="C10" s="5" t="n">
        <v>2</v>
      </c>
      <c r="D10" s="5" t="s">
        <v>27</v>
      </c>
      <c r="E10" s="6" t="str">
        <f aca="false">HYPERLINK("#'Scope_Metrics'!A5","Scope_Metrics · A5:E12")</f>
        <v>Scope_Metrics · A5:E12</v>
      </c>
      <c r="F10" s="5" t="s">
        <v>28</v>
      </c>
    </row>
    <row r="11" customFormat="false" ht="68" hidden="false" customHeight="true" outlineLevel="0" collapsed="false">
      <c r="A11" s="2" t="s">
        <v>29</v>
      </c>
      <c r="B11" s="2" t="s">
        <v>23</v>
      </c>
      <c r="C11" s="2" t="n">
        <v>3</v>
      </c>
      <c r="D11" s="2" t="s">
        <v>30</v>
      </c>
      <c r="E11" s="4" t="str">
        <f aca="false">HYPERLINK("#'Reference_Labels'!A30","Reference_Labels · A30:E33")</f>
        <v>Reference_Labels · A30:E33</v>
      </c>
      <c r="F11" s="2" t="s">
        <v>31</v>
      </c>
    </row>
    <row r="12" customFormat="false" ht="68" hidden="false" customHeight="true" outlineLevel="0" collapsed="false">
      <c r="A12" s="5" t="s">
        <v>32</v>
      </c>
      <c r="B12" s="5" t="s">
        <v>23</v>
      </c>
      <c r="C12" s="5" t="n">
        <v>4</v>
      </c>
      <c r="D12" s="5" t="s">
        <v>33</v>
      </c>
      <c r="E12" s="6" t="str">
        <f aca="false">HYPERLINK("#'Reference_Labels'!A37","Reference_Labels · A37:E41")</f>
        <v>Reference_Labels · A37:E41</v>
      </c>
      <c r="F12" s="5" t="s">
        <v>34</v>
      </c>
    </row>
    <row r="13" customFormat="false" ht="68" hidden="false" customHeight="true" outlineLevel="0" collapsed="false">
      <c r="A13" s="2" t="s">
        <v>35</v>
      </c>
      <c r="B13" s="2" t="s">
        <v>23</v>
      </c>
      <c r="C13" s="2" t="n">
        <v>5</v>
      </c>
      <c r="D13" s="2" t="s">
        <v>36</v>
      </c>
      <c r="E13" s="4" t="str">
        <f aca="false">HYPERLINK("#'Benchmark'!A6","Benchmark · A6:F8")</f>
        <v>Benchmark · A6:F8</v>
      </c>
      <c r="F13" s="2" t="s">
        <v>37</v>
      </c>
    </row>
    <row r="14" customFormat="false" ht="68" hidden="false" customHeight="true" outlineLevel="0" collapsed="false">
      <c r="A14" s="5" t="s">
        <v>38</v>
      </c>
      <c r="B14" s="5" t="s">
        <v>23</v>
      </c>
      <c r="C14" s="5" t="n">
        <v>6</v>
      </c>
      <c r="D14" s="5" t="s">
        <v>39</v>
      </c>
      <c r="E14" s="6" t="str">
        <f aca="false">HYPERLINK("#'Reference_Labels'!A14","Reference_Labels · A14:E19")</f>
        <v>Reference_Labels · A14:E19</v>
      </c>
      <c r="F14" s="5" t="s">
        <v>40</v>
      </c>
    </row>
    <row r="15" customFormat="false" ht="68" hidden="false" customHeight="true" outlineLevel="0" collapsed="false">
      <c r="A15" s="2" t="s">
        <v>41</v>
      </c>
      <c r="B15" s="2" t="s">
        <v>23</v>
      </c>
      <c r="C15" s="2" t="n">
        <v>7</v>
      </c>
      <c r="D15" s="2" t="s">
        <v>42</v>
      </c>
      <c r="E15" s="4" t="str">
        <f aca="false">HYPERLINK("#'Reference_Labels'!A45","Reference_Labels · A45:E48")</f>
        <v>Reference_Labels · A45:E48</v>
      </c>
      <c r="F15" s="2" t="s">
        <v>43</v>
      </c>
    </row>
    <row r="16" customFormat="false" ht="68" hidden="false" customHeight="true" outlineLevel="0" collapsed="false">
      <c r="A16" s="5" t="s">
        <v>44</v>
      </c>
      <c r="B16" s="5" t="s">
        <v>23</v>
      </c>
      <c r="C16" s="5" t="n">
        <v>8</v>
      </c>
      <c r="D16" s="5" t="s">
        <v>45</v>
      </c>
      <c r="E16" s="6" t="str">
        <f aca="false">HYPERLINK("#'Reference_Labels'!A52","Reference_Labels · A52:E55")</f>
        <v>Reference_Labels · A52:E55</v>
      </c>
      <c r="F16" s="5" t="s">
        <v>46</v>
      </c>
    </row>
    <row r="17" customFormat="false" ht="68" hidden="false" customHeight="true" outlineLevel="0" collapsed="false">
      <c r="A17" s="2" t="s">
        <v>47</v>
      </c>
      <c r="B17" s="2" t="s">
        <v>23</v>
      </c>
      <c r="C17" s="2" t="n">
        <v>9</v>
      </c>
      <c r="D17" s="2" t="s">
        <v>48</v>
      </c>
      <c r="E17" s="4" t="str">
        <f aca="false">HYPERLINK("#'Reference_Labels'!A59","Reference_Labels · A59:E64")</f>
        <v>Reference_Labels · A59:E64</v>
      </c>
      <c r="F17" s="2" t="s">
        <v>49</v>
      </c>
    </row>
    <row r="18" customFormat="false" ht="68" hidden="false" customHeight="true" outlineLevel="0" collapsed="false">
      <c r="A18" s="5" t="s">
        <v>50</v>
      </c>
      <c r="B18" s="5" t="s">
        <v>23</v>
      </c>
      <c r="C18" s="5" t="n">
        <v>10</v>
      </c>
      <c r="D18" s="5" t="s">
        <v>51</v>
      </c>
      <c r="E18" s="6" t="str">
        <f aca="false">HYPERLINK("#'Costs'!A4","Costs · A4:C8")</f>
        <v>Costs · A4:C8</v>
      </c>
      <c r="F18" s="5" t="s">
        <v>52</v>
      </c>
    </row>
    <row r="19" customFormat="false" ht="68" hidden="false" customHeight="true" outlineLevel="0" collapsed="false">
      <c r="A19" s="2" t="s">
        <v>53</v>
      </c>
      <c r="B19" s="2" t="s">
        <v>23</v>
      </c>
      <c r="C19" s="2" t="n">
        <v>10</v>
      </c>
      <c r="D19" s="2" t="s">
        <v>54</v>
      </c>
      <c r="E19" s="4" t="str">
        <f aca="false">HYPERLINK("#'Practice_ROI'!A4","Practice_ROI · A4:D24")</f>
        <v>Practice_ROI · A4:D24</v>
      </c>
      <c r="F19" s="2" t="s">
        <v>55</v>
      </c>
    </row>
    <row r="20" customFormat="false" ht="68" hidden="false" customHeight="true" outlineLevel="0" collapsed="false">
      <c r="A20" s="5" t="s">
        <v>56</v>
      </c>
      <c r="B20" s="5" t="s">
        <v>23</v>
      </c>
      <c r="C20" s="5" t="n">
        <v>11</v>
      </c>
      <c r="D20" s="5" t="s">
        <v>57</v>
      </c>
      <c r="E20" s="6" t="str">
        <f aca="false">HYPERLINK("#'Scope_Metrics'!A20","Scope_Metrics · A20:E30")</f>
        <v>Scope_Metrics · A20:E30</v>
      </c>
      <c r="F20" s="5" t="s">
        <v>58</v>
      </c>
    </row>
    <row r="21" customFormat="false" ht="68" hidden="false" customHeight="true" outlineLevel="0" collapsed="false">
      <c r="A21" s="2" t="s">
        <v>59</v>
      </c>
      <c r="B21" s="2" t="s">
        <v>23</v>
      </c>
      <c r="C21" s="2" t="n">
        <v>11</v>
      </c>
      <c r="D21" s="2" t="s">
        <v>60</v>
      </c>
      <c r="E21" s="4" t="str">
        <f aca="false">HYPERLINK("#'Scope_Metrics'!A5","Scope_Metrics · A5:E16")</f>
        <v>Scope_Metrics · A5:E16</v>
      </c>
      <c r="F21" s="2" t="s">
        <v>61</v>
      </c>
    </row>
    <row r="22" customFormat="false" ht="68" hidden="false" customHeight="true" outlineLevel="0" collapsed="false">
      <c r="A22" s="5" t="s">
        <v>62</v>
      </c>
      <c r="B22" s="5" t="s">
        <v>23</v>
      </c>
      <c r="C22" s="5" t="n">
        <v>12</v>
      </c>
      <c r="D22" s="5" t="s">
        <v>63</v>
      </c>
      <c r="E22" s="6" t="str">
        <f aca="false">HYPERLINK("#'Reference_Labels'!A68","Reference_Labels · A68:E75")</f>
        <v>Reference_Labels · A68:E75</v>
      </c>
      <c r="F22" s="5" t="s">
        <v>64</v>
      </c>
    </row>
    <row r="23" customFormat="false" ht="25" hidden="false" customHeight="true" outlineLevel="0" collapsed="false">
      <c r="A23" s="2"/>
      <c r="B23" s="2"/>
      <c r="C23" s="2"/>
      <c r="D23" s="2"/>
      <c r="E23" s="2"/>
      <c r="F23" s="2"/>
    </row>
    <row r="24" customFormat="false" ht="43" hidden="false" customHeight="true" outlineLevel="0" collapsed="false">
      <c r="A24" s="2" t="s">
        <v>65</v>
      </c>
      <c r="B24" s="2"/>
      <c r="C24" s="2"/>
      <c r="D24" s="2"/>
      <c r="E24" s="2"/>
      <c r="F24" s="2"/>
    </row>
    <row r="25" customFormat="false" ht="43" hidden="false" customHeight="true" outlineLevel="0" collapsed="false">
      <c r="A25" s="2" t="s">
        <v>66</v>
      </c>
      <c r="B25" s="2"/>
      <c r="C25" s="2"/>
      <c r="D25" s="2"/>
      <c r="E25" s="2"/>
      <c r="F25" s="2"/>
    </row>
    <row r="26" customFormat="false" ht="25" hidden="false" customHeight="true" outlineLevel="0" collapsed="false">
      <c r="A26" s="2"/>
      <c r="B26" s="2"/>
      <c r="C26" s="2"/>
      <c r="D26" s="2"/>
      <c r="E26" s="2"/>
      <c r="F26" s="2"/>
    </row>
    <row r="27" customFormat="false" ht="25" hidden="false" customHeight="true" outlineLevel="0" collapsed="false">
      <c r="A27" s="2"/>
      <c r="B27" s="2"/>
      <c r="C27" s="2"/>
      <c r="D27" s="2"/>
      <c r="E27" s="2"/>
      <c r="F27" s="2"/>
    </row>
    <row r="28" customFormat="false" ht="25" hidden="false" customHeight="true" outlineLevel="0" collapsed="false">
      <c r="A28" s="2"/>
      <c r="B28" s="2"/>
      <c r="C28" s="2"/>
      <c r="D28" s="2"/>
      <c r="E28" s="2"/>
      <c r="F28" s="2"/>
    </row>
  </sheetData>
  <mergeCells count="5">
    <mergeCell ref="A1:F1"/>
    <mergeCell ref="A2:F2"/>
    <mergeCell ref="A3:F3"/>
    <mergeCell ref="A24:F24"/>
    <mergeCell ref="A25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6C54"/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21"/>
  </cols>
  <sheetData>
    <row r="1" customFormat="false" ht="39" hidden="false" customHeight="true" outlineLevel="0" collapsed="false">
      <c r="A1" s="1" t="s">
        <v>67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68</v>
      </c>
      <c r="B2" s="2"/>
      <c r="C2" s="2"/>
      <c r="D2" s="2"/>
      <c r="E2" s="2"/>
      <c r="F2" s="2"/>
    </row>
    <row r="3" customFormat="false" ht="25" hidden="false" customHeight="true" outlineLevel="0" collapsed="false">
      <c r="A3" s="2"/>
      <c r="B3" s="2"/>
      <c r="C3" s="2"/>
      <c r="D3" s="2"/>
      <c r="E3" s="2"/>
      <c r="F3" s="2"/>
    </row>
    <row r="4" customFormat="false" ht="32" hidden="false" customHeight="true" outlineLevel="0" collapsed="false">
      <c r="A4" s="3" t="s">
        <v>69</v>
      </c>
      <c r="B4" s="3" t="s">
        <v>70</v>
      </c>
      <c r="C4" s="3" t="s">
        <v>71</v>
      </c>
      <c r="D4" s="2"/>
      <c r="E4" s="2"/>
      <c r="F4" s="2"/>
    </row>
    <row r="5" customFormat="false" ht="35" hidden="false" customHeight="true" outlineLevel="0" collapsed="false">
      <c r="A5" s="2" t="s">
        <v>72</v>
      </c>
      <c r="B5" s="7" t="n">
        <f aca="false">IF(OR(NOT(ISNUMBER(B22)),B22&lt;=0,B22&gt;1),"n.a.",SUM(C15:C19)/60/B22)</f>
        <v>2.45098039215686</v>
      </c>
      <c r="C5" s="7" t="n">
        <f aca="false">IF(OR(NOT(ISNUMBER(C22)),C22&lt;=0,C22&gt;1),"n.a.",SUM(D15:D19)/60/C22)</f>
        <v>1.05263157894737</v>
      </c>
      <c r="D5" s="2"/>
      <c r="E5" s="2"/>
      <c r="F5" s="2"/>
    </row>
    <row r="6" customFormat="false" ht="35" hidden="false" customHeight="true" outlineLevel="0" collapsed="false">
      <c r="A6" s="2" t="s">
        <v>51</v>
      </c>
      <c r="B6" s="8" t="n">
        <f aca="false">IF(OR(NOT(ISNUMBER(B22)),B22&lt;=0,B22&gt;1),"n.a.",(SUM(E15:E19)+B21)/B22)</f>
        <v>160.294117647059</v>
      </c>
      <c r="C6" s="8" t="n">
        <f aca="false">IF(OR(NOT(ISNUMBER(C22)),C22&lt;=0,C22&gt;1),"n.a.",(SUM(F15:F19)+C21)/C22)</f>
        <v>71.5789473684211</v>
      </c>
      <c r="D6" s="2"/>
      <c r="E6" s="2"/>
      <c r="F6" s="2"/>
    </row>
    <row r="7" customFormat="false" ht="35" hidden="false" customHeight="true" outlineLevel="0" collapsed="false">
      <c r="A7" s="2" t="s">
        <v>73</v>
      </c>
      <c r="B7" s="8" t="n">
        <f aca="false">IF(OR(NOT(ISNUMBER(C24)),C24&lt;=0),"n.a.",B24/C24)</f>
        <v>12</v>
      </c>
      <c r="C7" s="8" t="n">
        <f aca="false">IF(OR(NOT(ISNUMBER(C24)),C24&lt;=0),"n.a.",B24/C24)</f>
        <v>12</v>
      </c>
      <c r="D7" s="2"/>
      <c r="E7" s="2"/>
      <c r="F7" s="2"/>
    </row>
    <row r="8" customFormat="false" ht="35" hidden="false" customHeight="true" outlineLevel="0" collapsed="false">
      <c r="A8" s="2" t="s">
        <v>74</v>
      </c>
      <c r="B8" s="8" t="n">
        <f aca="false">IF(AND(ISNUMBER(B6),ISNUMBER(B7)),B6+B7,"n.a.")</f>
        <v>172.294117647059</v>
      </c>
      <c r="C8" s="8" t="n">
        <f aca="false">IF(AND(ISNUMBER(C6),ISNUMBER(C7)),C6+C7,"n.a.")</f>
        <v>83.5789473684211</v>
      </c>
      <c r="D8" s="2"/>
      <c r="E8" s="2"/>
      <c r="F8" s="2"/>
    </row>
    <row r="9" customFormat="false" ht="25" hidden="false" customHeight="true" outlineLevel="0" collapsed="false">
      <c r="A9" s="2"/>
      <c r="B9" s="2"/>
      <c r="C9" s="2"/>
      <c r="D9" s="2"/>
      <c r="E9" s="2"/>
      <c r="F9" s="2"/>
    </row>
    <row r="10" customFormat="false" ht="42" hidden="false" customHeight="true" outlineLevel="0" collapsed="false">
      <c r="A10" s="2" t="s">
        <v>75</v>
      </c>
      <c r="B10" s="2"/>
      <c r="C10" s="2"/>
      <c r="D10" s="2"/>
      <c r="E10" s="2"/>
      <c r="F10" s="2"/>
    </row>
    <row r="11" customFormat="false" ht="25" hidden="false" customHeight="true" outlineLevel="0" collapsed="false">
      <c r="A11" s="2"/>
      <c r="B11" s="2"/>
      <c r="C11" s="2"/>
      <c r="D11" s="2"/>
      <c r="E11" s="2"/>
      <c r="F11" s="2"/>
    </row>
    <row r="12" customFormat="false" ht="25" hidden="false" customHeight="true" outlineLevel="0" collapsed="false">
      <c r="A12" s="2"/>
      <c r="B12" s="2"/>
      <c r="C12" s="2"/>
      <c r="D12" s="2"/>
      <c r="E12" s="2"/>
      <c r="F12" s="2"/>
    </row>
    <row r="13" customFormat="false" ht="25" hidden="false" customHeight="true" outlineLevel="0" collapsed="false">
      <c r="A13" s="2"/>
      <c r="B13" s="2"/>
      <c r="C13" s="2"/>
      <c r="D13" s="2"/>
      <c r="E13" s="2"/>
      <c r="F13" s="2"/>
    </row>
    <row r="14" customFormat="false" ht="32" hidden="false" customHeight="true" outlineLevel="0" collapsed="false">
      <c r="A14" s="3" t="s">
        <v>76</v>
      </c>
      <c r="B14" s="3" t="s">
        <v>77</v>
      </c>
      <c r="C14" s="3" t="s">
        <v>78</v>
      </c>
      <c r="D14" s="3" t="s">
        <v>79</v>
      </c>
      <c r="E14" s="3" t="s">
        <v>80</v>
      </c>
      <c r="F14" s="3" t="s">
        <v>81</v>
      </c>
    </row>
    <row r="15" customFormat="false" ht="25" hidden="false" customHeight="true" outlineLevel="0" collapsed="false">
      <c r="A15" s="2" t="s">
        <v>82</v>
      </c>
      <c r="B15" s="9" t="n">
        <v>45</v>
      </c>
      <c r="C15" s="4" t="n">
        <v>60</v>
      </c>
      <c r="D15" s="4" t="n">
        <v>25</v>
      </c>
      <c r="E15" s="8" t="n">
        <f aca="false">B15*C15/60</f>
        <v>45</v>
      </c>
      <c r="F15" s="8" t="n">
        <f aca="false">B15*D15/60</f>
        <v>18.75</v>
      </c>
    </row>
    <row r="16" customFormat="false" ht="25" hidden="false" customHeight="true" outlineLevel="0" collapsed="false">
      <c r="A16" s="2" t="s">
        <v>83</v>
      </c>
      <c r="B16" s="9" t="n">
        <v>75</v>
      </c>
      <c r="C16" s="4" t="n">
        <v>25</v>
      </c>
      <c r="D16" s="4" t="n">
        <v>15</v>
      </c>
      <c r="E16" s="8" t="n">
        <f aca="false">B16*C16/60</f>
        <v>31.25</v>
      </c>
      <c r="F16" s="8" t="n">
        <f aca="false">B16*D16/60</f>
        <v>18.75</v>
      </c>
    </row>
    <row r="17" customFormat="false" ht="25" hidden="false" customHeight="true" outlineLevel="0" collapsed="false">
      <c r="A17" s="2" t="s">
        <v>84</v>
      </c>
      <c r="B17" s="9" t="n">
        <v>75</v>
      </c>
      <c r="C17" s="4" t="n">
        <v>20</v>
      </c>
      <c r="D17" s="4" t="n">
        <v>10</v>
      </c>
      <c r="E17" s="8" t="n">
        <f aca="false">B17*C17/60</f>
        <v>25</v>
      </c>
      <c r="F17" s="8" t="n">
        <f aca="false">B17*D17/60</f>
        <v>12.5</v>
      </c>
    </row>
    <row r="18" customFormat="false" ht="25" hidden="false" customHeight="true" outlineLevel="0" collapsed="false">
      <c r="A18" s="2" t="s">
        <v>85</v>
      </c>
      <c r="B18" s="9" t="n">
        <v>100</v>
      </c>
      <c r="C18" s="4" t="n">
        <v>10</v>
      </c>
      <c r="D18" s="4" t="n">
        <v>5</v>
      </c>
      <c r="E18" s="8" t="n">
        <f aca="false">B18*C18/60</f>
        <v>16.6666666666667</v>
      </c>
      <c r="F18" s="8" t="n">
        <f aca="false">B18*D18/60</f>
        <v>8.33333333333333</v>
      </c>
    </row>
    <row r="19" customFormat="false" ht="25" hidden="false" customHeight="true" outlineLevel="0" collapsed="false">
      <c r="A19" s="2" t="s">
        <v>86</v>
      </c>
      <c r="B19" s="9" t="n">
        <v>80</v>
      </c>
      <c r="C19" s="4" t="n">
        <v>10</v>
      </c>
      <c r="D19" s="4" t="n">
        <v>5</v>
      </c>
      <c r="E19" s="8" t="n">
        <f aca="false">B19*C19/60</f>
        <v>13.3333333333333</v>
      </c>
      <c r="F19" s="8" t="n">
        <f aca="false">B19*D19/60</f>
        <v>6.66666666666667</v>
      </c>
    </row>
    <row r="20" customFormat="false" ht="25" hidden="false" customHeight="true" outlineLevel="0" collapsed="false">
      <c r="A20" s="2"/>
      <c r="B20" s="2"/>
      <c r="C20" s="2"/>
      <c r="D20" s="2"/>
      <c r="E20" s="2"/>
      <c r="F20" s="2"/>
    </row>
    <row r="21" customFormat="false" ht="35" hidden="false" customHeight="true" outlineLevel="0" collapsed="false">
      <c r="A21" s="2" t="s">
        <v>87</v>
      </c>
      <c r="B21" s="9" t="n">
        <v>5</v>
      </c>
      <c r="C21" s="9" t="n">
        <v>3</v>
      </c>
      <c r="D21" s="2"/>
      <c r="E21" s="2"/>
      <c r="F21" s="2"/>
    </row>
    <row r="22" customFormat="false" ht="35" hidden="false" customHeight="true" outlineLevel="0" collapsed="false">
      <c r="A22" s="2" t="s">
        <v>88</v>
      </c>
      <c r="B22" s="10" t="n">
        <v>0.85</v>
      </c>
      <c r="C22" s="10" t="n">
        <v>0.95</v>
      </c>
      <c r="D22" s="2"/>
      <c r="E22" s="2"/>
      <c r="F22" s="2"/>
    </row>
    <row r="23" customFormat="false" ht="35" hidden="false" customHeight="true" outlineLevel="0" collapsed="false">
      <c r="A23" s="2" t="s">
        <v>89</v>
      </c>
      <c r="B23" s="8" t="n">
        <f aca="false">IF(OR(NOT(ISNUMBER(B22)),B22&lt;=0,B22&gt;1),"n.a.",(SUM(F15:F19)+C21)/B22)</f>
        <v>80</v>
      </c>
      <c r="C23" s="2"/>
      <c r="D23" s="2"/>
      <c r="E23" s="2"/>
      <c r="F23" s="2"/>
    </row>
    <row r="24" customFormat="false" ht="35" hidden="false" customHeight="true" outlineLevel="0" collapsed="false">
      <c r="A24" s="2" t="s">
        <v>90</v>
      </c>
      <c r="B24" s="9" t="n">
        <v>6000</v>
      </c>
      <c r="C24" s="11" t="n">
        <v>500</v>
      </c>
      <c r="D24" s="2"/>
      <c r="E24" s="2"/>
      <c r="F24" s="2"/>
    </row>
    <row r="25" customFormat="false" ht="25" hidden="false" customHeight="true" outlineLevel="0" collapsed="false">
      <c r="A25" s="2"/>
      <c r="B25" s="2"/>
      <c r="C25" s="2"/>
      <c r="D25" s="2"/>
      <c r="E25" s="2"/>
      <c r="F25" s="2"/>
    </row>
    <row r="26" customFormat="false" ht="42" hidden="false" customHeight="true" outlineLevel="0" collapsed="false">
      <c r="A26" s="2" t="s">
        <v>91</v>
      </c>
      <c r="B26" s="2"/>
      <c r="C26" s="2"/>
      <c r="D26" s="2"/>
      <c r="E26" s="2"/>
      <c r="F26" s="2"/>
    </row>
    <row r="27" customFormat="false" ht="25" hidden="false" customHeight="true" outlineLevel="0" collapsed="false">
      <c r="A27" s="2"/>
      <c r="B27" s="2"/>
      <c r="C27" s="2"/>
      <c r="D27" s="2"/>
      <c r="E27" s="2"/>
      <c r="F27" s="2"/>
    </row>
    <row r="28" customFormat="false" ht="25" hidden="false" customHeight="true" outlineLevel="0" collapsed="false">
      <c r="A28" s="2"/>
      <c r="B28" s="2"/>
      <c r="C28" s="2"/>
      <c r="D28" s="2"/>
      <c r="E28" s="2"/>
      <c r="F28" s="2"/>
    </row>
    <row r="29" customFormat="false" ht="25" hidden="false" customHeight="true" outlineLevel="0" collapsed="false">
      <c r="A29" s="2"/>
      <c r="B29" s="2"/>
      <c r="C29" s="2"/>
      <c r="D29" s="2"/>
      <c r="E29" s="2"/>
      <c r="F29" s="2"/>
    </row>
    <row r="30" customFormat="false" ht="32" hidden="false" customHeight="true" outlineLevel="0" collapsed="false">
      <c r="A30" s="3" t="s">
        <v>92</v>
      </c>
      <c r="B30" s="3" t="s">
        <v>93</v>
      </c>
      <c r="C30" s="2"/>
      <c r="D30" s="2"/>
      <c r="E30" s="2"/>
      <c r="F30" s="2"/>
    </row>
    <row r="31" customFormat="false" ht="25" hidden="false" customHeight="true" outlineLevel="0" collapsed="false">
      <c r="A31" s="2" t="str">
        <f aca="false">B4</f>
        <v>At start</v>
      </c>
      <c r="B31" s="8" t="n">
        <f aca="false">B6</f>
        <v>160.294117647059</v>
      </c>
      <c r="C31" s="2"/>
      <c r="D31" s="2"/>
      <c r="E31" s="2"/>
      <c r="F31" s="2"/>
    </row>
    <row r="32" customFormat="false" ht="25" hidden="false" customHeight="true" outlineLevel="0" collapsed="false">
      <c r="A32" s="2" t="str">
        <f aca="false">C4</f>
        <v>After 500</v>
      </c>
      <c r="B32" s="8" t="n">
        <f aca="false">C6</f>
        <v>71.5789473684211</v>
      </c>
      <c r="C32" s="2"/>
      <c r="D32" s="2"/>
      <c r="E32" s="2"/>
      <c r="F32" s="2"/>
    </row>
    <row r="33" customFormat="false" ht="25" hidden="false" customHeight="true" outlineLevel="0" collapsed="false">
      <c r="A33" s="2"/>
      <c r="B33" s="2"/>
      <c r="C33" s="2"/>
      <c r="D33" s="2"/>
      <c r="E33" s="2"/>
      <c r="F33" s="2"/>
    </row>
    <row r="34" customFormat="false" ht="25" hidden="false" customHeight="true" outlineLevel="0" collapsed="false">
      <c r="A34" s="2"/>
      <c r="B34" s="2"/>
      <c r="C34" s="2"/>
      <c r="D34" s="2"/>
      <c r="E34" s="2"/>
      <c r="F34" s="2"/>
    </row>
    <row r="35" customFormat="false" ht="25" hidden="false" customHeight="true" outlineLevel="0" collapsed="false">
      <c r="A35" s="2"/>
      <c r="B35" s="2"/>
      <c r="C35" s="2"/>
      <c r="D35" s="2"/>
      <c r="E35" s="2"/>
      <c r="F35" s="2"/>
    </row>
    <row r="36" customFormat="false" ht="25" hidden="false" customHeight="true" outlineLevel="0" collapsed="false">
      <c r="A36" s="2"/>
      <c r="B36" s="2"/>
      <c r="C36" s="2"/>
      <c r="D36" s="2"/>
      <c r="E36" s="2"/>
      <c r="F36" s="2"/>
    </row>
    <row r="37" customFormat="false" ht="25" hidden="false" customHeight="true" outlineLevel="0" collapsed="false">
      <c r="A37" s="2"/>
      <c r="B37" s="2"/>
      <c r="C37" s="2"/>
      <c r="D37" s="2"/>
      <c r="E37" s="2"/>
      <c r="F37" s="2"/>
    </row>
    <row r="38" customFormat="false" ht="25" hidden="false" customHeight="true" outlineLevel="0" collapsed="false">
      <c r="A38" s="2"/>
      <c r="B38" s="2"/>
      <c r="C38" s="2"/>
      <c r="D38" s="2"/>
      <c r="E38" s="2"/>
      <c r="F38" s="2"/>
    </row>
    <row r="39" customFormat="false" ht="25" hidden="false" customHeight="true" outlineLevel="0" collapsed="false">
      <c r="A39" s="2"/>
      <c r="B39" s="2"/>
      <c r="C39" s="2"/>
      <c r="D39" s="2"/>
      <c r="E39" s="2"/>
      <c r="F39" s="2"/>
    </row>
    <row r="40" customFormat="false" ht="25" hidden="false" customHeight="true" outlineLevel="0" collapsed="false">
      <c r="A40" s="2"/>
      <c r="B40" s="2"/>
      <c r="C40" s="2"/>
      <c r="D40" s="2"/>
      <c r="E40" s="2"/>
      <c r="F40" s="2"/>
    </row>
    <row r="41" customFormat="false" ht="25" hidden="false" customHeight="true" outlineLevel="0" collapsed="false">
      <c r="A41" s="2"/>
      <c r="B41" s="2"/>
      <c r="C41" s="2"/>
      <c r="D41" s="2"/>
      <c r="E41" s="2"/>
      <c r="F41" s="2"/>
    </row>
    <row r="42" customFormat="false" ht="25" hidden="false" customHeight="true" outlineLevel="0" collapsed="false">
      <c r="A42" s="2"/>
      <c r="B42" s="2"/>
      <c r="C42" s="2"/>
      <c r="D42" s="2"/>
      <c r="E42" s="2"/>
      <c r="F42" s="2"/>
    </row>
    <row r="43" customFormat="false" ht="25" hidden="false" customHeight="true" outlineLevel="0" collapsed="false">
      <c r="A43" s="2"/>
      <c r="B43" s="2"/>
      <c r="C43" s="2"/>
      <c r="D43" s="2"/>
      <c r="E43" s="2"/>
      <c r="F43" s="2"/>
    </row>
    <row r="44" customFormat="false" ht="25" hidden="false" customHeight="true" outlineLevel="0" collapsed="false">
      <c r="A44" s="2"/>
      <c r="B44" s="2"/>
      <c r="C44" s="2"/>
      <c r="D44" s="2"/>
      <c r="E44" s="2"/>
      <c r="F44" s="2"/>
    </row>
    <row r="45" customFormat="false" ht="25" hidden="false" customHeight="true" outlineLevel="0" collapsed="false">
      <c r="A45" s="2"/>
      <c r="B45" s="2"/>
      <c r="C45" s="2"/>
      <c r="D45" s="2"/>
      <c r="E45" s="2"/>
      <c r="F45" s="2"/>
    </row>
    <row r="46" customFormat="false" ht="25" hidden="false" customHeight="true" outlineLevel="0" collapsed="false">
      <c r="A46" s="2"/>
      <c r="B46" s="2"/>
      <c r="C46" s="2"/>
      <c r="D46" s="2"/>
      <c r="E46" s="2"/>
      <c r="F46" s="2"/>
    </row>
    <row r="47" customFormat="false" ht="25" hidden="false" customHeight="true" outlineLevel="0" collapsed="false">
      <c r="A47" s="2"/>
      <c r="B47" s="2"/>
      <c r="C47" s="2"/>
      <c r="D47" s="2"/>
      <c r="E47" s="2"/>
      <c r="F47" s="2"/>
    </row>
    <row r="48" customFormat="false" ht="25" hidden="false" customHeight="true" outlineLevel="0" collapsed="false">
      <c r="A48" s="2"/>
      <c r="B48" s="2"/>
      <c r="C48" s="2"/>
      <c r="D48" s="2"/>
      <c r="E48" s="2"/>
      <c r="F48" s="2"/>
    </row>
    <row r="49" customFormat="false" ht="25" hidden="false" customHeight="true" outlineLevel="0" collapsed="false">
      <c r="A49" s="2"/>
      <c r="B49" s="2"/>
      <c r="C49" s="2"/>
      <c r="D49" s="2"/>
      <c r="E49" s="2"/>
      <c r="F49" s="2"/>
    </row>
    <row r="50" customFormat="false" ht="25" hidden="false" customHeight="true" outlineLevel="0" collapsed="false">
      <c r="A50" s="2"/>
      <c r="B50" s="2"/>
      <c r="C50" s="2"/>
      <c r="D50" s="2"/>
      <c r="E50" s="2"/>
      <c r="F50" s="2"/>
    </row>
    <row r="51" customFormat="false" ht="25" hidden="false" customHeight="true" outlineLevel="0" collapsed="false">
      <c r="A51" s="2"/>
      <c r="B51" s="2"/>
      <c r="C51" s="2"/>
      <c r="D51" s="2"/>
      <c r="E51" s="2"/>
      <c r="F51" s="2"/>
    </row>
    <row r="52" customFormat="false" ht="25" hidden="false" customHeight="true" outlineLevel="0" collapsed="false">
      <c r="A52" s="2"/>
      <c r="B52" s="2"/>
      <c r="C52" s="2"/>
      <c r="D52" s="2"/>
      <c r="E52" s="2"/>
      <c r="F52" s="2"/>
    </row>
  </sheetData>
  <mergeCells count="4">
    <mergeCell ref="A1:F1"/>
    <mergeCell ref="A2:F2"/>
    <mergeCell ref="A10:F10"/>
    <mergeCell ref="A26:F26"/>
  </mergeCells>
  <dataValidations count="2">
    <dataValidation allowBlank="false" errorStyle="stop" operator="between" showDropDown="false" showErrorMessage="false" showInputMessage="false" sqref="B22:C22" type="decimal">
      <formula1>0.000001</formula1>
      <formula2>1</formula2>
    </dataValidation>
    <dataValidation allowBlank="false" errorStyle="stop" operator="greaterThan" showDropDown="false" showErrorMessage="false" showInputMessage="false" sqref="C24" type="whol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6C54"/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21"/>
    <col collapsed="false" customWidth="true" hidden="false" outlineLevel="0" max="5" min="5" style="0" width="20"/>
    <col collapsed="false" customWidth="true" hidden="false" outlineLevel="0" max="6" min="6" style="0" width="21"/>
  </cols>
  <sheetData>
    <row r="1" customFormat="false" ht="39" hidden="false" customHeight="true" outlineLevel="0" collapsed="false">
      <c r="A1" s="1" t="s">
        <v>94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95</v>
      </c>
      <c r="B2" s="2"/>
      <c r="C2" s="2"/>
      <c r="D2" s="2"/>
      <c r="E2" s="2"/>
      <c r="F2" s="2"/>
    </row>
    <row r="3" customFormat="false" ht="25" hidden="false" customHeight="true" outlineLevel="0" collapsed="false">
      <c r="A3" s="2"/>
      <c r="B3" s="2"/>
      <c r="C3" s="2"/>
      <c r="D3" s="2"/>
      <c r="E3" s="2"/>
      <c r="F3" s="2"/>
    </row>
    <row r="4" customFormat="false" ht="25" hidden="false" customHeight="true" outlineLevel="0" collapsed="false">
      <c r="A4" s="2"/>
      <c r="B4" s="2"/>
      <c r="C4" s="2"/>
      <c r="D4" s="2"/>
      <c r="E4" s="2"/>
      <c r="F4" s="2"/>
    </row>
    <row r="5" customFormat="false" ht="32" hidden="false" customHeight="true" outlineLevel="0" collapsed="false">
      <c r="A5" s="3" t="s">
        <v>96</v>
      </c>
      <c r="B5" s="3" t="s">
        <v>97</v>
      </c>
      <c r="C5" s="3" t="s">
        <v>98</v>
      </c>
      <c r="D5" s="3" t="s">
        <v>99</v>
      </c>
      <c r="E5" s="3" t="s">
        <v>100</v>
      </c>
      <c r="F5" s="3" t="s">
        <v>101</v>
      </c>
    </row>
    <row r="6" customFormat="false" ht="38" hidden="false" customHeight="true" outlineLevel="0" collapsed="false">
      <c r="A6" s="2" t="s">
        <v>102</v>
      </c>
      <c r="B6" s="12" t="n">
        <v>4</v>
      </c>
      <c r="C6" s="12" t="n">
        <v>4</v>
      </c>
      <c r="D6" s="12" t="n">
        <v>4</v>
      </c>
      <c r="E6" s="12" t="n">
        <v>1</v>
      </c>
      <c r="F6" s="13" t="n">
        <f aca="false">B6/C6</f>
        <v>1</v>
      </c>
    </row>
    <row r="7" customFormat="false" ht="38" hidden="false" customHeight="true" outlineLevel="0" collapsed="false">
      <c r="A7" s="2" t="s">
        <v>103</v>
      </c>
      <c r="B7" s="12" t="n">
        <v>4</v>
      </c>
      <c r="C7" s="12" t="n">
        <v>50</v>
      </c>
      <c r="D7" s="12" t="n">
        <v>4</v>
      </c>
      <c r="E7" s="12" t="n">
        <v>1</v>
      </c>
      <c r="F7" s="13" t="n">
        <f aca="false">B7/C7</f>
        <v>0.08</v>
      </c>
    </row>
    <row r="8" customFormat="false" ht="38" hidden="false" customHeight="true" outlineLevel="0" collapsed="false">
      <c r="A8" s="2" t="s">
        <v>104</v>
      </c>
      <c r="B8" s="12" t="n">
        <v>4</v>
      </c>
      <c r="C8" s="12" t="n">
        <v>301</v>
      </c>
      <c r="D8" s="12" t="n">
        <v>4</v>
      </c>
      <c r="E8" s="12" t="n">
        <v>1</v>
      </c>
      <c r="F8" s="13" t="n">
        <f aca="false">B8/C8</f>
        <v>0.0132890365448505</v>
      </c>
    </row>
    <row r="9" customFormat="false" ht="38" hidden="false" customHeight="true" outlineLevel="0" collapsed="false">
      <c r="A9" s="2" t="s">
        <v>105</v>
      </c>
      <c r="B9" s="12" t="n">
        <v>4</v>
      </c>
      <c r="C9" s="12" t="n">
        <v>301</v>
      </c>
      <c r="D9" s="12" t="n">
        <v>0</v>
      </c>
      <c r="E9" s="12" t="n">
        <v>0</v>
      </c>
      <c r="F9" s="13" t="n">
        <f aca="false">B9/C9</f>
        <v>0.0132890365448505</v>
      </c>
    </row>
    <row r="10" customFormat="false" ht="38" hidden="false" customHeight="true" outlineLevel="0" collapsed="false">
      <c r="A10" s="2" t="s">
        <v>106</v>
      </c>
      <c r="B10" s="12" t="n">
        <v>4</v>
      </c>
      <c r="C10" s="12" t="n">
        <v>4</v>
      </c>
      <c r="D10" s="12" t="n">
        <v>4</v>
      </c>
      <c r="E10" s="12" t="n">
        <v>1</v>
      </c>
      <c r="F10" s="13" t="n">
        <f aca="false">B10/C10</f>
        <v>1</v>
      </c>
    </row>
    <row r="11" customFormat="false" ht="38" hidden="false" customHeight="true" outlineLevel="0" collapsed="false">
      <c r="A11" s="2" t="s">
        <v>107</v>
      </c>
      <c r="B11" s="12" t="n">
        <v>4</v>
      </c>
      <c r="C11" s="12" t="n">
        <v>4</v>
      </c>
      <c r="D11" s="12" t="n">
        <v>4</v>
      </c>
      <c r="E11" s="12" t="n">
        <v>1</v>
      </c>
      <c r="F11" s="13" t="n">
        <f aca="false">B11/C11</f>
        <v>1</v>
      </c>
    </row>
    <row r="12" customFormat="false" ht="25" hidden="false" customHeight="true" outlineLevel="0" collapsed="false">
      <c r="A12" s="2"/>
      <c r="B12" s="2"/>
      <c r="C12" s="2"/>
      <c r="D12" s="2"/>
      <c r="E12" s="2"/>
      <c r="F12" s="2"/>
    </row>
    <row r="13" customFormat="false" ht="42" hidden="false" customHeight="true" outlineLevel="0" collapsed="false">
      <c r="A13" s="2" t="s">
        <v>108</v>
      </c>
      <c r="B13" s="2"/>
      <c r="C13" s="2"/>
      <c r="D13" s="2"/>
      <c r="E13" s="2"/>
      <c r="F13" s="2"/>
    </row>
    <row r="14" customFormat="false" ht="25" hidden="false" customHeight="true" outlineLevel="0" collapsed="false">
      <c r="A14" s="2"/>
      <c r="B14" s="2"/>
      <c r="C14" s="2"/>
      <c r="D14" s="2"/>
      <c r="E14" s="2"/>
      <c r="F14" s="2"/>
    </row>
    <row r="15" customFormat="false" ht="25" hidden="false" customHeight="true" outlineLevel="0" collapsed="false">
      <c r="A15" s="2"/>
      <c r="B15" s="2"/>
      <c r="C15" s="2"/>
      <c r="D15" s="2"/>
      <c r="E15" s="2"/>
      <c r="F15" s="2"/>
    </row>
    <row r="16" customFormat="false" ht="42" hidden="false" customHeight="true" outlineLevel="0" collapsed="false">
      <c r="A16" s="2" t="s">
        <v>109</v>
      </c>
      <c r="B16" s="2"/>
      <c r="C16" s="2"/>
      <c r="D16" s="2"/>
      <c r="E16" s="2"/>
      <c r="F16" s="2"/>
    </row>
    <row r="17" customFormat="false" ht="25" hidden="false" customHeight="true" outlineLevel="0" collapsed="false">
      <c r="A17" s="2"/>
      <c r="B17" s="2"/>
      <c r="C17" s="2"/>
      <c r="D17" s="2"/>
      <c r="E17" s="2"/>
      <c r="F17" s="2"/>
    </row>
    <row r="18" customFormat="false" ht="25" hidden="false" customHeight="true" outlineLevel="0" collapsed="false">
      <c r="A18" s="2"/>
      <c r="B18" s="2"/>
      <c r="C18" s="2"/>
      <c r="D18" s="2"/>
      <c r="E18" s="2"/>
      <c r="F18" s="2"/>
    </row>
    <row r="19" customFormat="false" ht="25" hidden="false" customHeight="true" outlineLevel="0" collapsed="false">
      <c r="A19" s="2"/>
      <c r="B19" s="2"/>
      <c r="C19" s="2"/>
      <c r="D19" s="2"/>
      <c r="E19" s="2"/>
      <c r="F19" s="2"/>
    </row>
    <row r="20" customFormat="false" ht="42" hidden="false" customHeight="true" outlineLevel="0" collapsed="false">
      <c r="A20" s="2" t="s">
        <v>110</v>
      </c>
      <c r="B20" s="2"/>
      <c r="C20" s="2"/>
      <c r="D20" s="2"/>
      <c r="E20" s="2"/>
      <c r="F20" s="2"/>
    </row>
    <row r="21" customFormat="false" ht="25" hidden="false" customHeight="true" outlineLevel="0" collapsed="false">
      <c r="A21" s="2"/>
      <c r="B21" s="2"/>
      <c r="C21" s="2"/>
      <c r="D21" s="2"/>
      <c r="E21" s="2"/>
      <c r="F21" s="2"/>
    </row>
    <row r="22" customFormat="false" ht="25" hidden="false" customHeight="true" outlineLevel="0" collapsed="false">
      <c r="A22" s="2"/>
      <c r="B22" s="2"/>
      <c r="C22" s="2"/>
      <c r="D22" s="2"/>
      <c r="E22" s="2"/>
      <c r="F22" s="2"/>
    </row>
    <row r="23" customFormat="false" ht="25" hidden="false" customHeight="true" outlineLevel="0" collapsed="false">
      <c r="A23" s="2"/>
      <c r="B23" s="2"/>
      <c r="C23" s="2"/>
      <c r="D23" s="2"/>
      <c r="E23" s="2"/>
      <c r="F23" s="2"/>
    </row>
    <row r="24" customFormat="false" ht="25" hidden="false" customHeight="true" outlineLevel="0" collapsed="false">
      <c r="A24" s="2"/>
      <c r="B24" s="2"/>
      <c r="C24" s="2"/>
      <c r="D24" s="2"/>
      <c r="E24" s="2"/>
      <c r="F24" s="2"/>
    </row>
    <row r="25" customFormat="false" ht="25" hidden="false" customHeight="true" outlineLevel="0" collapsed="false">
      <c r="A25" s="2"/>
      <c r="B25" s="2"/>
      <c r="C25" s="2"/>
      <c r="D25" s="2"/>
      <c r="E25" s="2"/>
      <c r="F25" s="2"/>
    </row>
    <row r="26" customFormat="false" ht="25" hidden="false" customHeight="true" outlineLevel="0" collapsed="false">
      <c r="A26" s="2"/>
      <c r="B26" s="2"/>
      <c r="C26" s="2"/>
      <c r="D26" s="2"/>
      <c r="E26" s="2"/>
      <c r="F26" s="2"/>
    </row>
    <row r="27" customFormat="false" ht="25" hidden="false" customHeight="true" outlineLevel="0" collapsed="false">
      <c r="A27" s="2"/>
      <c r="B27" s="2"/>
      <c r="C27" s="2"/>
      <c r="D27" s="2"/>
      <c r="E27" s="2"/>
      <c r="F27" s="2"/>
    </row>
    <row r="28" customFormat="false" ht="25" hidden="false" customHeight="true" outlineLevel="0" collapsed="false">
      <c r="A28" s="2"/>
      <c r="B28" s="2"/>
      <c r="C28" s="2"/>
      <c r="D28" s="2"/>
      <c r="E28" s="2"/>
      <c r="F28" s="2"/>
    </row>
    <row r="29" customFormat="false" ht="25" hidden="false" customHeight="true" outlineLevel="0" collapsed="false">
      <c r="A29" s="2"/>
      <c r="B29" s="2"/>
      <c r="C29" s="2"/>
      <c r="D29" s="2"/>
      <c r="E29" s="2"/>
      <c r="F29" s="2"/>
    </row>
    <row r="30" customFormat="false" ht="25" hidden="false" customHeight="true" outlineLevel="0" collapsed="false">
      <c r="A30" s="2"/>
      <c r="B30" s="2"/>
      <c r="C30" s="2"/>
      <c r="D30" s="2"/>
      <c r="E30" s="2"/>
      <c r="F30" s="2"/>
    </row>
    <row r="31" customFormat="false" ht="25" hidden="false" customHeight="true" outlineLevel="0" collapsed="false">
      <c r="A31" s="2"/>
      <c r="B31" s="2"/>
      <c r="C31" s="2"/>
      <c r="D31" s="2"/>
      <c r="E31" s="2"/>
      <c r="F31" s="2"/>
    </row>
    <row r="32" customFormat="false" ht="25" hidden="false" customHeight="true" outlineLevel="0" collapsed="false">
      <c r="A32" s="2"/>
      <c r="B32" s="2"/>
      <c r="C32" s="2"/>
      <c r="D32" s="2"/>
      <c r="E32" s="2"/>
      <c r="F32" s="2"/>
    </row>
    <row r="33" customFormat="false" ht="25" hidden="false" customHeight="true" outlineLevel="0" collapsed="false">
      <c r="A33" s="2"/>
      <c r="B33" s="2"/>
      <c r="C33" s="2"/>
      <c r="D33" s="2"/>
      <c r="E33" s="2"/>
      <c r="F33" s="2"/>
    </row>
    <row r="34" customFormat="false" ht="25" hidden="false" customHeight="true" outlineLevel="0" collapsed="false">
      <c r="A34" s="2"/>
      <c r="B34" s="2"/>
      <c r="C34" s="2"/>
      <c r="D34" s="2"/>
      <c r="E34" s="2"/>
      <c r="F34" s="2"/>
    </row>
    <row r="35" customFormat="false" ht="25" hidden="false" customHeight="true" outlineLevel="0" collapsed="false">
      <c r="A35" s="2"/>
      <c r="B35" s="2"/>
      <c r="C35" s="2"/>
      <c r="D35" s="2"/>
      <c r="E35" s="2"/>
      <c r="F35" s="2"/>
    </row>
    <row r="36" customFormat="false" ht="25" hidden="false" customHeight="true" outlineLevel="0" collapsed="false">
      <c r="A36" s="2"/>
      <c r="B36" s="2"/>
      <c r="C36" s="2"/>
      <c r="D36" s="2"/>
      <c r="E36" s="2"/>
      <c r="F36" s="2"/>
    </row>
    <row r="37" customFormat="false" ht="25" hidden="false" customHeight="true" outlineLevel="0" collapsed="false">
      <c r="A37" s="2"/>
      <c r="B37" s="2"/>
      <c r="C37" s="2"/>
      <c r="D37" s="2"/>
      <c r="E37" s="2"/>
      <c r="F37" s="2"/>
    </row>
    <row r="38" customFormat="false" ht="25" hidden="false" customHeight="true" outlineLevel="0" collapsed="false">
      <c r="A38" s="2"/>
      <c r="B38" s="2"/>
      <c r="C38" s="2"/>
      <c r="D38" s="2"/>
      <c r="E38" s="2"/>
      <c r="F38" s="2"/>
    </row>
    <row r="39" customFormat="false" ht="25" hidden="false" customHeight="true" outlineLevel="0" collapsed="false">
      <c r="A39" s="2"/>
      <c r="B39" s="2"/>
      <c r="C39" s="2"/>
      <c r="D39" s="2"/>
      <c r="E39" s="2"/>
      <c r="F39" s="2"/>
    </row>
    <row r="40" customFormat="false" ht="25" hidden="false" customHeight="true" outlineLevel="0" collapsed="false">
      <c r="A40" s="2"/>
      <c r="B40" s="2"/>
      <c r="C40" s="2"/>
      <c r="D40" s="2"/>
      <c r="E40" s="2"/>
      <c r="F40" s="2"/>
    </row>
    <row r="41" customFormat="false" ht="25" hidden="false" customHeight="true" outlineLevel="0" collapsed="false">
      <c r="A41" s="2"/>
      <c r="B41" s="2"/>
      <c r="C41" s="2"/>
      <c r="D41" s="2"/>
      <c r="E41" s="2"/>
      <c r="F41" s="2"/>
    </row>
    <row r="42" customFormat="false" ht="25" hidden="false" customHeight="true" outlineLevel="0" collapsed="false">
      <c r="A42" s="2"/>
      <c r="B42" s="2"/>
      <c r="C42" s="2"/>
      <c r="D42" s="2"/>
      <c r="E42" s="2"/>
      <c r="F42" s="2"/>
    </row>
    <row r="43" customFormat="false" ht="25" hidden="false" customHeight="true" outlineLevel="0" collapsed="false">
      <c r="A43" s="2"/>
      <c r="B43" s="2"/>
      <c r="C43" s="2"/>
      <c r="D43" s="2"/>
      <c r="E43" s="2"/>
      <c r="F43" s="2"/>
    </row>
    <row r="44" customFormat="false" ht="25" hidden="false" customHeight="true" outlineLevel="0" collapsed="false">
      <c r="A44" s="2"/>
      <c r="B44" s="2"/>
      <c r="C44" s="2"/>
      <c r="D44" s="2"/>
      <c r="E44" s="2"/>
      <c r="F44" s="2"/>
    </row>
    <row r="45" customFormat="false" ht="25" hidden="false" customHeight="true" outlineLevel="0" collapsed="false">
      <c r="A45" s="2"/>
      <c r="B45" s="2"/>
      <c r="C45" s="2"/>
      <c r="D45" s="2"/>
      <c r="E45" s="2"/>
      <c r="F45" s="2"/>
    </row>
    <row r="46" customFormat="false" ht="25" hidden="false" customHeight="true" outlineLevel="0" collapsed="false">
      <c r="A46" s="2"/>
      <c r="B46" s="2"/>
      <c r="C46" s="2"/>
      <c r="D46" s="2"/>
      <c r="E46" s="2"/>
      <c r="F46" s="2"/>
    </row>
    <row r="47" customFormat="false" ht="25" hidden="false" customHeight="true" outlineLevel="0" collapsed="false">
      <c r="A47" s="2"/>
      <c r="B47" s="2"/>
      <c r="C47" s="2"/>
      <c r="D47" s="2"/>
      <c r="E47" s="2"/>
      <c r="F47" s="2"/>
    </row>
    <row r="48" customFormat="false" ht="25" hidden="false" customHeight="true" outlineLevel="0" collapsed="false">
      <c r="A48" s="2"/>
      <c r="B48" s="2"/>
      <c r="C48" s="2"/>
      <c r="D48" s="2"/>
      <c r="E48" s="2"/>
      <c r="F48" s="2"/>
    </row>
    <row r="49" customFormat="false" ht="25" hidden="false" customHeight="true" outlineLevel="0" collapsed="false">
      <c r="A49" s="2"/>
      <c r="B49" s="2"/>
      <c r="C49" s="2"/>
      <c r="D49" s="2"/>
      <c r="E49" s="2"/>
      <c r="F49" s="2"/>
    </row>
    <row r="50" customFormat="false" ht="25" hidden="false" customHeight="true" outlineLevel="0" collapsed="false">
      <c r="A50" s="2"/>
      <c r="B50" s="2"/>
      <c r="C50" s="2"/>
      <c r="D50" s="2"/>
      <c r="E50" s="2"/>
      <c r="F50" s="2"/>
    </row>
    <row r="51" customFormat="false" ht="25" hidden="false" customHeight="true" outlineLevel="0" collapsed="false">
      <c r="A51" s="2"/>
      <c r="B51" s="2"/>
      <c r="C51" s="2"/>
      <c r="D51" s="2"/>
      <c r="E51" s="2"/>
      <c r="F51" s="2"/>
    </row>
    <row r="52" customFormat="false" ht="25" hidden="false" customHeight="true" outlineLevel="0" collapsed="false">
      <c r="A52" s="2"/>
      <c r="B52" s="2"/>
      <c r="C52" s="2"/>
      <c r="D52" s="2"/>
      <c r="E52" s="2"/>
      <c r="F52" s="2"/>
    </row>
  </sheetData>
  <mergeCells count="5">
    <mergeCell ref="A1:F1"/>
    <mergeCell ref="A2:F2"/>
    <mergeCell ref="A13:F13"/>
    <mergeCell ref="A16:F16"/>
    <mergeCell ref="A20:F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6C54"/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6" min="5" style="0" width="8"/>
  </cols>
  <sheetData>
    <row r="1" customFormat="false" ht="39" hidden="false" customHeight="true" outlineLevel="0" collapsed="false">
      <c r="A1" s="1" t="s">
        <v>54</v>
      </c>
      <c r="B1" s="1"/>
      <c r="C1" s="1"/>
      <c r="D1" s="1"/>
      <c r="E1" s="1"/>
      <c r="F1" s="1"/>
    </row>
    <row r="2" customFormat="false" ht="42" hidden="false" customHeight="true" outlineLevel="0" collapsed="false">
      <c r="A2" s="2" t="s">
        <v>111</v>
      </c>
      <c r="B2" s="2"/>
      <c r="C2" s="2"/>
      <c r="D2" s="2"/>
      <c r="E2" s="2"/>
      <c r="F2" s="2"/>
    </row>
    <row r="3" customFormat="false" ht="25" hidden="false" customHeight="true" outlineLevel="0" collapsed="false">
      <c r="A3" s="2"/>
      <c r="B3" s="2"/>
      <c r="C3" s="2"/>
      <c r="D3" s="2"/>
      <c r="E3" s="2"/>
      <c r="F3" s="2"/>
    </row>
    <row r="4" customFormat="false" ht="32" hidden="false" customHeight="true" outlineLevel="0" collapsed="false">
      <c r="A4" s="3" t="s">
        <v>112</v>
      </c>
      <c r="B4" s="3" t="s">
        <v>113</v>
      </c>
      <c r="C4" s="3" t="s">
        <v>114</v>
      </c>
      <c r="D4" s="3" t="s">
        <v>115</v>
      </c>
      <c r="E4" s="2"/>
      <c r="F4" s="2"/>
    </row>
    <row r="5" customFormat="false" ht="38" hidden="false" customHeight="true" outlineLevel="0" collapsed="false">
      <c r="A5" s="2" t="s">
        <v>116</v>
      </c>
      <c r="B5" s="14" t="n">
        <f aca="false">B8-B9</f>
        <v>6500</v>
      </c>
      <c r="C5" s="2" t="s">
        <v>117</v>
      </c>
      <c r="D5" s="2" t="s">
        <v>118</v>
      </c>
      <c r="E5" s="2"/>
      <c r="F5" s="2"/>
    </row>
    <row r="6" customFormat="false" ht="38" hidden="false" customHeight="true" outlineLevel="0" collapsed="false">
      <c r="A6" s="5" t="s">
        <v>119</v>
      </c>
      <c r="B6" s="15" t="n">
        <f aca="false">IF(B9&gt;0,B5/B9,"n.a.")</f>
        <v>0.361111111111111</v>
      </c>
      <c r="C6" s="5" t="s">
        <v>120</v>
      </c>
      <c r="D6" s="5" t="s">
        <v>121</v>
      </c>
      <c r="E6" s="2"/>
      <c r="F6" s="2"/>
    </row>
    <row r="7" customFormat="false" ht="38" hidden="false" customHeight="true" outlineLevel="0" collapsed="false">
      <c r="A7" s="2" t="s">
        <v>122</v>
      </c>
      <c r="B7" s="16" t="n">
        <f aca="false">IF(B24&gt;0,B18/B24,"No payback")</f>
        <v>5.76</v>
      </c>
      <c r="C7" s="2" t="s">
        <v>123</v>
      </c>
      <c r="D7" s="2" t="s">
        <v>124</v>
      </c>
      <c r="E7" s="2"/>
      <c r="F7" s="2"/>
    </row>
    <row r="8" customFormat="false" ht="38" hidden="false" customHeight="true" outlineLevel="0" collapsed="false">
      <c r="A8" s="5" t="s">
        <v>125</v>
      </c>
      <c r="B8" s="17" t="n">
        <f aca="false">B23*12</f>
        <v>24500</v>
      </c>
      <c r="C8" s="5" t="s">
        <v>117</v>
      </c>
      <c r="D8" s="5" t="s">
        <v>126</v>
      </c>
      <c r="E8" s="2"/>
      <c r="F8" s="2"/>
    </row>
    <row r="9" customFormat="false" ht="38" hidden="false" customHeight="true" outlineLevel="0" collapsed="false">
      <c r="A9" s="2" t="s">
        <v>127</v>
      </c>
      <c r="B9" s="14" t="n">
        <f aca="false">B17*12+B18</f>
        <v>18000</v>
      </c>
      <c r="C9" s="2" t="s">
        <v>117</v>
      </c>
      <c r="D9" s="2" t="s">
        <v>128</v>
      </c>
      <c r="E9" s="2"/>
      <c r="F9" s="2"/>
    </row>
    <row r="10" customFormat="false" ht="25" hidden="false" customHeight="true" outlineLevel="0" collapsed="false">
      <c r="A10" s="2"/>
      <c r="B10" s="2"/>
      <c r="C10" s="2"/>
      <c r="D10" s="2"/>
      <c r="E10" s="2"/>
      <c r="F10" s="2"/>
    </row>
    <row r="11" customFormat="false" ht="25" hidden="false" customHeight="true" outlineLevel="0" collapsed="false">
      <c r="A11" s="2"/>
      <c r="B11" s="2"/>
      <c r="C11" s="2"/>
      <c r="D11" s="2"/>
      <c r="E11" s="2"/>
      <c r="F11" s="2"/>
    </row>
    <row r="12" customFormat="false" ht="32" hidden="false" customHeight="true" outlineLevel="0" collapsed="false">
      <c r="A12" s="3" t="s">
        <v>129</v>
      </c>
      <c r="B12" s="3" t="s">
        <v>113</v>
      </c>
      <c r="C12" s="3" t="s">
        <v>114</v>
      </c>
      <c r="D12" s="3" t="s">
        <v>130</v>
      </c>
      <c r="E12" s="2"/>
      <c r="F12" s="2"/>
    </row>
    <row r="13" customFormat="false" ht="40" hidden="false" customHeight="true" outlineLevel="0" collapsed="false">
      <c r="A13" s="2" t="s">
        <v>131</v>
      </c>
      <c r="B13" s="4" t="n">
        <v>1000</v>
      </c>
      <c r="C13" s="2" t="s">
        <v>132</v>
      </c>
      <c r="D13" s="2" t="s">
        <v>133</v>
      </c>
      <c r="E13" s="2"/>
      <c r="F13" s="2"/>
    </row>
    <row r="14" customFormat="false" ht="40" hidden="false" customHeight="true" outlineLevel="0" collapsed="false">
      <c r="A14" s="5" t="s">
        <v>134</v>
      </c>
      <c r="B14" s="6" t="n">
        <v>5</v>
      </c>
      <c r="C14" s="5" t="s">
        <v>135</v>
      </c>
      <c r="D14" s="5" t="s">
        <v>136</v>
      </c>
      <c r="E14" s="2"/>
      <c r="F14" s="2"/>
    </row>
    <row r="15" customFormat="false" ht="40" hidden="false" customHeight="true" outlineLevel="0" collapsed="false">
      <c r="A15" s="2" t="s">
        <v>137</v>
      </c>
      <c r="B15" s="18" t="n">
        <v>35</v>
      </c>
      <c r="C15" s="2" t="s">
        <v>138</v>
      </c>
      <c r="D15" s="2" t="s">
        <v>139</v>
      </c>
      <c r="E15" s="2"/>
      <c r="F15" s="2"/>
    </row>
    <row r="16" customFormat="false" ht="40" hidden="false" customHeight="true" outlineLevel="0" collapsed="false">
      <c r="A16" s="5" t="s">
        <v>140</v>
      </c>
      <c r="B16" s="19" t="n">
        <v>0.7</v>
      </c>
      <c r="C16" s="5" t="s">
        <v>141</v>
      </c>
      <c r="D16" s="5" t="s">
        <v>142</v>
      </c>
      <c r="E16" s="2"/>
      <c r="F16" s="2"/>
    </row>
    <row r="17" customFormat="false" ht="40" hidden="false" customHeight="true" outlineLevel="0" collapsed="false">
      <c r="A17" s="2" t="s">
        <v>143</v>
      </c>
      <c r="B17" s="20" t="n">
        <v>1000</v>
      </c>
      <c r="C17" s="2" t="s">
        <v>144</v>
      </c>
      <c r="D17" s="2" t="s">
        <v>145</v>
      </c>
      <c r="E17" s="2"/>
      <c r="F17" s="2"/>
    </row>
    <row r="18" customFormat="false" ht="40" hidden="false" customHeight="true" outlineLevel="0" collapsed="false">
      <c r="A18" s="5" t="s">
        <v>146</v>
      </c>
      <c r="B18" s="21" t="n">
        <v>6000</v>
      </c>
      <c r="C18" s="5" t="s">
        <v>117</v>
      </c>
      <c r="D18" s="5" t="s">
        <v>147</v>
      </c>
      <c r="E18" s="2"/>
      <c r="F18" s="2"/>
    </row>
    <row r="19" customFormat="false" ht="25" hidden="false" customHeight="true" outlineLevel="0" collapsed="false">
      <c r="A19" s="2"/>
      <c r="B19" s="2"/>
      <c r="C19" s="2"/>
      <c r="D19" s="2"/>
      <c r="E19" s="2"/>
      <c r="F19" s="2"/>
    </row>
    <row r="20" customFormat="false" ht="32" hidden="false" customHeight="true" outlineLevel="0" collapsed="false">
      <c r="A20" s="3" t="s">
        <v>148</v>
      </c>
      <c r="B20" s="3" t="s">
        <v>113</v>
      </c>
      <c r="C20" s="3" t="s">
        <v>114</v>
      </c>
      <c r="D20" s="3" t="s">
        <v>149</v>
      </c>
      <c r="E20" s="2"/>
      <c r="F20" s="2"/>
    </row>
    <row r="21" customFormat="false" ht="40" hidden="false" customHeight="true" outlineLevel="0" collapsed="false">
      <c r="A21" s="2" t="s">
        <v>150</v>
      </c>
      <c r="B21" s="16" t="n">
        <f aca="false">B13*B14/60</f>
        <v>83.3333333333333</v>
      </c>
      <c r="C21" s="2" t="s">
        <v>151</v>
      </c>
      <c r="D21" s="2" t="s">
        <v>152</v>
      </c>
      <c r="E21" s="2"/>
      <c r="F21" s="2"/>
    </row>
    <row r="22" customFormat="false" ht="40" hidden="false" customHeight="true" outlineLevel="0" collapsed="false">
      <c r="A22" s="5" t="s">
        <v>153</v>
      </c>
      <c r="B22" s="22" t="n">
        <f aca="false">B21*B15</f>
        <v>2916.66666666667</v>
      </c>
      <c r="C22" s="5" t="s">
        <v>117</v>
      </c>
      <c r="D22" s="5" t="s">
        <v>154</v>
      </c>
      <c r="E22" s="2"/>
      <c r="F22" s="2"/>
    </row>
    <row r="23" customFormat="false" ht="40" hidden="false" customHeight="true" outlineLevel="0" collapsed="false">
      <c r="A23" s="2" t="s">
        <v>155</v>
      </c>
      <c r="B23" s="8" t="n">
        <f aca="false">B22*B16</f>
        <v>2041.66666666667</v>
      </c>
      <c r="C23" s="2" t="s">
        <v>117</v>
      </c>
      <c r="D23" s="2" t="s">
        <v>156</v>
      </c>
      <c r="E23" s="2"/>
      <c r="F23" s="2"/>
    </row>
    <row r="24" customFormat="false" ht="40" hidden="false" customHeight="true" outlineLevel="0" collapsed="false">
      <c r="A24" s="5" t="s">
        <v>157</v>
      </c>
      <c r="B24" s="22" t="n">
        <f aca="false">B23-B17</f>
        <v>1041.66666666667</v>
      </c>
      <c r="C24" s="5" t="s">
        <v>117</v>
      </c>
      <c r="D24" s="5" t="s">
        <v>158</v>
      </c>
      <c r="E24" s="2"/>
      <c r="F24" s="2"/>
    </row>
    <row r="25" customFormat="false" ht="25" hidden="false" customHeight="true" outlineLevel="0" collapsed="false">
      <c r="A25" s="2"/>
      <c r="B25" s="2"/>
      <c r="C25" s="2"/>
      <c r="D25" s="2"/>
      <c r="E25" s="2"/>
      <c r="F25" s="2"/>
    </row>
    <row r="26" customFormat="false" ht="25" hidden="false" customHeight="true" outlineLevel="0" collapsed="false">
      <c r="A26" s="2"/>
      <c r="B26" s="2"/>
      <c r="C26" s="2"/>
      <c r="D26" s="2"/>
      <c r="E26" s="2"/>
      <c r="F26" s="2"/>
    </row>
    <row r="27" customFormat="false" ht="42" hidden="false" customHeight="true" outlineLevel="0" collapsed="false">
      <c r="A27" s="2" t="s">
        <v>159</v>
      </c>
      <c r="B27" s="2"/>
      <c r="C27" s="2"/>
      <c r="D27" s="2"/>
      <c r="E27" s="2"/>
      <c r="F27" s="2"/>
    </row>
    <row r="28" customFormat="false" ht="25" hidden="false" customHeight="true" outlineLevel="0" collapsed="false">
      <c r="A28" s="2"/>
      <c r="B28" s="2"/>
      <c r="C28" s="2"/>
      <c r="D28" s="2"/>
      <c r="E28" s="2"/>
      <c r="F28" s="2"/>
    </row>
    <row r="29" customFormat="false" ht="25" hidden="false" customHeight="true" outlineLevel="0" collapsed="false">
      <c r="A29" s="2"/>
      <c r="B29" s="2"/>
      <c r="C29" s="2"/>
      <c r="D29" s="2"/>
      <c r="E29" s="2"/>
      <c r="F29" s="2"/>
    </row>
  </sheetData>
  <mergeCells count="3">
    <mergeCell ref="A1:F1"/>
    <mergeCell ref="A2:F2"/>
    <mergeCell ref="A27:F27"/>
  </mergeCells>
  <dataValidations count="1">
    <dataValidation allowBlank="false" errorStyle="stop" operator="between" showDropDown="false" showErrorMessage="false" showInputMessage="false" sqref="B16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6C54"/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4" min="4" style="0" width="49"/>
    <col collapsed="false" customWidth="true" hidden="false" outlineLevel="0" max="5" min="5" style="0" width="25"/>
    <col collapsed="false" customWidth="true" hidden="false" outlineLevel="0" max="6" min="6" style="0" width="8"/>
  </cols>
  <sheetData>
    <row r="1" customFormat="false" ht="39" hidden="false" customHeight="true" outlineLevel="0" collapsed="false">
      <c r="A1" s="1" t="s">
        <v>160</v>
      </c>
      <c r="B1" s="1"/>
      <c r="C1" s="1"/>
      <c r="D1" s="1"/>
      <c r="E1" s="1"/>
      <c r="F1" s="1"/>
    </row>
    <row r="2" customFormat="false" ht="34" hidden="false" customHeight="true" outlineLevel="0" collapsed="false">
      <c r="A2" s="2" t="s">
        <v>161</v>
      </c>
      <c r="B2" s="2"/>
      <c r="C2" s="2"/>
      <c r="D2" s="2"/>
      <c r="E2" s="2"/>
      <c r="F2" s="2"/>
    </row>
    <row r="3" customFormat="false" ht="25" hidden="false" customHeight="true" outlineLevel="0" collapsed="false">
      <c r="A3" s="2"/>
      <c r="B3" s="2"/>
      <c r="C3" s="2"/>
      <c r="D3" s="2"/>
      <c r="E3" s="2"/>
      <c r="F3" s="2"/>
    </row>
    <row r="4" customFormat="false" ht="32" hidden="false" customHeight="true" outlineLevel="0" collapsed="false">
      <c r="A4" s="3" t="s">
        <v>162</v>
      </c>
      <c r="B4" s="3" t="s">
        <v>113</v>
      </c>
      <c r="C4" s="3" t="s">
        <v>163</v>
      </c>
      <c r="D4" s="3" t="s">
        <v>164</v>
      </c>
      <c r="E4" s="3" t="s">
        <v>165</v>
      </c>
      <c r="F4" s="2"/>
    </row>
    <row r="5" customFormat="false" ht="42" hidden="false" customHeight="true" outlineLevel="0" collapsed="false">
      <c r="A5" s="2" t="s">
        <v>166</v>
      </c>
      <c r="B5" s="23" t="n">
        <f aca="false">Benchmark!F7</f>
        <v>0.08</v>
      </c>
      <c r="C5" s="2" t="s">
        <v>167</v>
      </c>
      <c r="D5" s="2" t="s">
        <v>168</v>
      </c>
      <c r="E5" s="2" t="s">
        <v>169</v>
      </c>
      <c r="F5" s="2"/>
    </row>
    <row r="6" customFormat="false" ht="42" hidden="false" customHeight="true" outlineLevel="0" collapsed="false">
      <c r="A6" s="5" t="s">
        <v>170</v>
      </c>
      <c r="B6" s="24" t="n">
        <v>10</v>
      </c>
      <c r="C6" s="5" t="s">
        <v>171</v>
      </c>
      <c r="D6" s="5" t="s">
        <v>172</v>
      </c>
      <c r="E6" s="5" t="s">
        <v>173</v>
      </c>
      <c r="F6" s="2"/>
    </row>
    <row r="7" customFormat="false" ht="42" hidden="false" customHeight="true" outlineLevel="0" collapsed="false">
      <c r="A7" s="2" t="s">
        <v>174</v>
      </c>
      <c r="B7" s="25" t="n">
        <v>5</v>
      </c>
      <c r="C7" s="2" t="s">
        <v>171</v>
      </c>
      <c r="D7" s="2" t="s">
        <v>175</v>
      </c>
      <c r="E7" s="2" t="s">
        <v>176</v>
      </c>
      <c r="F7" s="2"/>
    </row>
    <row r="8" customFormat="false" ht="42" hidden="false" customHeight="true" outlineLevel="0" collapsed="false">
      <c r="A8" s="5" t="s">
        <v>177</v>
      </c>
      <c r="B8" s="24" t="n">
        <f aca="false">B6*B7</f>
        <v>50</v>
      </c>
      <c r="C8" s="5" t="s">
        <v>171</v>
      </c>
      <c r="D8" s="5" t="s">
        <v>178</v>
      </c>
      <c r="E8" s="5" t="s">
        <v>173</v>
      </c>
      <c r="F8" s="2"/>
    </row>
    <row r="9" customFormat="false" ht="42" hidden="false" customHeight="true" outlineLevel="0" collapsed="false">
      <c r="A9" s="2" t="s">
        <v>179</v>
      </c>
      <c r="B9" s="25" t="n">
        <v>20</v>
      </c>
      <c r="C9" s="2" t="s">
        <v>180</v>
      </c>
      <c r="D9" s="2" t="s">
        <v>181</v>
      </c>
      <c r="E9" s="2" t="s">
        <v>26</v>
      </c>
      <c r="F9" s="2"/>
    </row>
    <row r="10" customFormat="false" ht="42" hidden="false" customHeight="true" outlineLevel="0" collapsed="false">
      <c r="A10" s="5" t="s">
        <v>182</v>
      </c>
      <c r="B10" s="24" t="n">
        <f aca="false">B8*B9</f>
        <v>1000</v>
      </c>
      <c r="C10" s="5" t="s">
        <v>183</v>
      </c>
      <c r="D10" s="5" t="s">
        <v>184</v>
      </c>
      <c r="E10" s="5" t="s">
        <v>176</v>
      </c>
      <c r="F10" s="2"/>
    </row>
    <row r="11" customFormat="false" ht="42" hidden="false" customHeight="true" outlineLevel="0" collapsed="false">
      <c r="A11" s="2" t="s">
        <v>185</v>
      </c>
      <c r="B11" s="25" t="n">
        <v>3</v>
      </c>
      <c r="C11" s="2" t="s">
        <v>171</v>
      </c>
      <c r="D11" s="2" t="s">
        <v>186</v>
      </c>
      <c r="E11" s="2" t="s">
        <v>41</v>
      </c>
      <c r="F11" s="2"/>
    </row>
    <row r="12" customFormat="false" ht="42" hidden="false" customHeight="true" outlineLevel="0" collapsed="false">
      <c r="A12" s="5" t="s">
        <v>187</v>
      </c>
      <c r="B12" s="24" t="n">
        <v>84</v>
      </c>
      <c r="C12" s="5" t="s">
        <v>188</v>
      </c>
      <c r="D12" s="5" t="s">
        <v>189</v>
      </c>
      <c r="E12" s="5" t="s">
        <v>59</v>
      </c>
      <c r="F12" s="2"/>
    </row>
    <row r="13" customFormat="false" ht="42" hidden="false" customHeight="true" outlineLevel="0" collapsed="false">
      <c r="A13" s="2" t="s">
        <v>190</v>
      </c>
      <c r="B13" s="25" t="n">
        <v>15</v>
      </c>
      <c r="C13" s="2" t="s">
        <v>191</v>
      </c>
      <c r="D13" s="2" t="s">
        <v>192</v>
      </c>
      <c r="E13" s="2" t="s">
        <v>59</v>
      </c>
      <c r="F13" s="2"/>
    </row>
    <row r="14" customFormat="false" ht="42" hidden="false" customHeight="true" outlineLevel="0" collapsed="false">
      <c r="A14" s="5" t="s">
        <v>193</v>
      </c>
      <c r="B14" s="24" t="n">
        <v>14</v>
      </c>
      <c r="C14" s="5" t="s">
        <v>194</v>
      </c>
      <c r="D14" s="5" t="s">
        <v>195</v>
      </c>
      <c r="E14" s="5" t="s">
        <v>44</v>
      </c>
      <c r="F14" s="2"/>
    </row>
    <row r="15" customFormat="false" ht="42" hidden="false" customHeight="true" outlineLevel="0" collapsed="false">
      <c r="A15" s="2" t="s">
        <v>196</v>
      </c>
      <c r="B15" s="25" t="n">
        <v>5</v>
      </c>
      <c r="C15" s="2" t="s">
        <v>197</v>
      </c>
      <c r="D15" s="2" t="s">
        <v>198</v>
      </c>
      <c r="E15" s="2" t="s">
        <v>44</v>
      </c>
      <c r="F15" s="2"/>
    </row>
    <row r="16" customFormat="false" ht="42" hidden="false" customHeight="true" outlineLevel="0" collapsed="false">
      <c r="A16" s="5" t="s">
        <v>199</v>
      </c>
      <c r="B16" s="24" t="n">
        <v>50</v>
      </c>
      <c r="C16" s="5" t="s">
        <v>200</v>
      </c>
      <c r="D16" s="5" t="s">
        <v>201</v>
      </c>
      <c r="E16" s="5" t="s">
        <v>202</v>
      </c>
      <c r="F16" s="2"/>
    </row>
    <row r="17" customFormat="false" ht="25" hidden="false" customHeight="true" outlineLevel="0" collapsed="false">
      <c r="A17" s="2"/>
      <c r="B17" s="2"/>
      <c r="C17" s="2"/>
      <c r="D17" s="2"/>
      <c r="E17" s="2"/>
      <c r="F17" s="2"/>
    </row>
    <row r="18" customFormat="false" ht="25" hidden="false" customHeight="true" outlineLevel="0" collapsed="false">
      <c r="A18" s="2"/>
      <c r="B18" s="2"/>
      <c r="C18" s="2"/>
      <c r="D18" s="2"/>
      <c r="E18" s="2"/>
      <c r="F18" s="2"/>
    </row>
    <row r="19" customFormat="false" ht="25" hidden="false" customHeight="true" outlineLevel="0" collapsed="false">
      <c r="A19" s="2"/>
      <c r="B19" s="2"/>
      <c r="C19" s="2"/>
      <c r="D19" s="2"/>
      <c r="E19" s="2"/>
      <c r="F19" s="2"/>
    </row>
    <row r="20" customFormat="false" ht="32" hidden="false" customHeight="true" outlineLevel="0" collapsed="false">
      <c r="A20" s="3" t="s">
        <v>203</v>
      </c>
      <c r="B20" s="3" t="s">
        <v>204</v>
      </c>
      <c r="C20" s="3" t="s">
        <v>205</v>
      </c>
      <c r="D20" s="3" t="s">
        <v>206</v>
      </c>
      <c r="E20" s="3" t="s">
        <v>207</v>
      </c>
      <c r="F20" s="2"/>
    </row>
    <row r="21" customFormat="false" ht="48" hidden="false" customHeight="true" outlineLevel="0" collapsed="false">
      <c r="A21" s="2" t="s">
        <v>208</v>
      </c>
      <c r="B21" s="2" t="s">
        <v>209</v>
      </c>
      <c r="C21" s="2" t="s">
        <v>210</v>
      </c>
      <c r="D21" s="2" t="s">
        <v>211</v>
      </c>
      <c r="E21" s="2" t="s">
        <v>212</v>
      </c>
      <c r="F21" s="2"/>
    </row>
    <row r="22" customFormat="false" ht="48" hidden="false" customHeight="true" outlineLevel="0" collapsed="false">
      <c r="A22" s="5" t="s">
        <v>213</v>
      </c>
      <c r="B22" s="5" t="s">
        <v>209</v>
      </c>
      <c r="C22" s="5" t="s">
        <v>214</v>
      </c>
      <c r="D22" s="5" t="s">
        <v>215</v>
      </c>
      <c r="E22" s="5" t="s">
        <v>212</v>
      </c>
      <c r="F22" s="2"/>
    </row>
    <row r="23" customFormat="false" ht="48" hidden="false" customHeight="true" outlineLevel="0" collapsed="false">
      <c r="A23" s="2" t="s">
        <v>216</v>
      </c>
      <c r="B23" s="2" t="s">
        <v>217</v>
      </c>
      <c r="C23" s="2" t="s">
        <v>218</v>
      </c>
      <c r="D23" s="2" t="s">
        <v>219</v>
      </c>
      <c r="E23" s="2" t="s">
        <v>212</v>
      </c>
      <c r="F23" s="2"/>
    </row>
    <row r="24" customFormat="false" ht="48" hidden="false" customHeight="true" outlineLevel="0" collapsed="false">
      <c r="A24" s="5" t="s">
        <v>220</v>
      </c>
      <c r="B24" s="5" t="s">
        <v>221</v>
      </c>
      <c r="C24" s="5" t="s">
        <v>210</v>
      </c>
      <c r="D24" s="5" t="s">
        <v>222</v>
      </c>
      <c r="E24" s="5" t="s">
        <v>212</v>
      </c>
      <c r="F24" s="2"/>
    </row>
    <row r="25" customFormat="false" ht="48" hidden="false" customHeight="true" outlineLevel="0" collapsed="false">
      <c r="A25" s="2" t="s">
        <v>223</v>
      </c>
      <c r="B25" s="2" t="s">
        <v>224</v>
      </c>
      <c r="C25" s="2" t="s">
        <v>218</v>
      </c>
      <c r="D25" s="2" t="s">
        <v>225</v>
      </c>
      <c r="E25" s="2" t="s">
        <v>212</v>
      </c>
      <c r="F25" s="2"/>
    </row>
    <row r="26" customFormat="false" ht="48" hidden="false" customHeight="true" outlineLevel="0" collapsed="false">
      <c r="A26" s="5" t="s">
        <v>226</v>
      </c>
      <c r="B26" s="5" t="s">
        <v>227</v>
      </c>
      <c r="C26" s="5" t="s">
        <v>228</v>
      </c>
      <c r="D26" s="5" t="s">
        <v>229</v>
      </c>
      <c r="E26" s="5" t="s">
        <v>212</v>
      </c>
      <c r="F26" s="2"/>
    </row>
    <row r="27" customFormat="false" ht="48" hidden="false" customHeight="true" outlineLevel="0" collapsed="false">
      <c r="A27" s="2" t="s">
        <v>230</v>
      </c>
      <c r="B27" s="2" t="s">
        <v>231</v>
      </c>
      <c r="C27" s="2" t="s">
        <v>228</v>
      </c>
      <c r="D27" s="2" t="s">
        <v>232</v>
      </c>
      <c r="E27" s="2" t="s">
        <v>212</v>
      </c>
      <c r="F27" s="2"/>
    </row>
    <row r="28" customFormat="false" ht="48" hidden="false" customHeight="true" outlineLevel="0" collapsed="false">
      <c r="A28" s="5" t="s">
        <v>233</v>
      </c>
      <c r="B28" s="5" t="s">
        <v>234</v>
      </c>
      <c r="C28" s="5" t="s">
        <v>218</v>
      </c>
      <c r="D28" s="5" t="s">
        <v>235</v>
      </c>
      <c r="E28" s="5" t="s">
        <v>212</v>
      </c>
      <c r="F28" s="2"/>
    </row>
    <row r="29" customFormat="false" ht="48" hidden="false" customHeight="true" outlineLevel="0" collapsed="false">
      <c r="A29" s="2" t="s">
        <v>236</v>
      </c>
      <c r="B29" s="2" t="s">
        <v>234</v>
      </c>
      <c r="C29" s="2" t="s">
        <v>218</v>
      </c>
      <c r="D29" s="2" t="s">
        <v>235</v>
      </c>
      <c r="E29" s="2" t="s">
        <v>212</v>
      </c>
      <c r="F29" s="2"/>
    </row>
    <row r="30" customFormat="false" ht="48" hidden="false" customHeight="true" outlineLevel="0" collapsed="false">
      <c r="A30" s="5" t="s">
        <v>237</v>
      </c>
      <c r="B30" s="5" t="s">
        <v>238</v>
      </c>
      <c r="C30" s="5" t="s">
        <v>218</v>
      </c>
      <c r="D30" s="5" t="s">
        <v>239</v>
      </c>
      <c r="E30" s="5" t="s">
        <v>212</v>
      </c>
      <c r="F30" s="2"/>
    </row>
    <row r="31" customFormat="false" ht="25" hidden="false" customHeight="true" outlineLevel="0" collapsed="false">
      <c r="A31" s="2"/>
      <c r="B31" s="2"/>
      <c r="C31" s="2"/>
      <c r="D31" s="2"/>
      <c r="E31" s="2"/>
      <c r="F31" s="2"/>
    </row>
    <row r="32" customFormat="false" ht="25" hidden="false" customHeight="true" outlineLevel="0" collapsed="false">
      <c r="A32" s="2"/>
      <c r="B32" s="2"/>
      <c r="C32" s="2"/>
      <c r="D32" s="2"/>
      <c r="E32" s="2"/>
      <c r="F32" s="2"/>
    </row>
    <row r="33" customFormat="false" ht="25" hidden="false" customHeight="true" outlineLevel="0" collapsed="false">
      <c r="A33" s="2"/>
      <c r="B33" s="2"/>
      <c r="C33" s="2"/>
      <c r="D33" s="2"/>
      <c r="E33" s="2"/>
      <c r="F33" s="2"/>
    </row>
    <row r="34" customFormat="false" ht="32" hidden="false" customHeight="true" outlineLevel="0" collapsed="false">
      <c r="A34" s="3" t="s">
        <v>240</v>
      </c>
      <c r="B34" s="3" t="s">
        <v>113</v>
      </c>
      <c r="C34" s="3" t="s">
        <v>114</v>
      </c>
      <c r="D34" s="3" t="s">
        <v>241</v>
      </c>
      <c r="E34" s="3" t="s">
        <v>242</v>
      </c>
      <c r="F34" s="2"/>
    </row>
    <row r="35" customFormat="false" ht="40" hidden="false" customHeight="true" outlineLevel="0" collapsed="false">
      <c r="A35" s="2" t="s">
        <v>243</v>
      </c>
      <c r="B35" s="23" t="n">
        <v>0.95</v>
      </c>
      <c r="C35" s="2" t="s">
        <v>244</v>
      </c>
      <c r="D35" s="2" t="s">
        <v>245</v>
      </c>
      <c r="E35" s="2" t="s">
        <v>47</v>
      </c>
      <c r="F35" s="2"/>
    </row>
    <row r="36" customFormat="false" ht="40" hidden="false" customHeight="true" outlineLevel="0" collapsed="false">
      <c r="A36" s="5" t="s">
        <v>246</v>
      </c>
      <c r="B36" s="26" t="n">
        <v>0.8</v>
      </c>
      <c r="C36" s="5" t="s">
        <v>247</v>
      </c>
      <c r="D36" s="5" t="s">
        <v>248</v>
      </c>
      <c r="E36" s="5" t="s">
        <v>47</v>
      </c>
      <c r="F36" s="2"/>
    </row>
    <row r="37" customFormat="false" ht="40" hidden="false" customHeight="true" outlineLevel="0" collapsed="false">
      <c r="A37" s="2" t="s">
        <v>249</v>
      </c>
      <c r="B37" s="2" t="n">
        <v>200</v>
      </c>
      <c r="C37" s="2" t="s">
        <v>250</v>
      </c>
      <c r="D37" s="2" t="s">
        <v>251</v>
      </c>
      <c r="E37" s="2" t="s">
        <v>62</v>
      </c>
      <c r="F37" s="2"/>
    </row>
    <row r="38" customFormat="false" ht="40" hidden="false" customHeight="true" outlineLevel="0" collapsed="false">
      <c r="A38" s="5" t="s">
        <v>252</v>
      </c>
      <c r="B38" s="5" t="n">
        <v>4</v>
      </c>
      <c r="C38" s="5" t="s">
        <v>253</v>
      </c>
      <c r="D38" s="5" t="s">
        <v>254</v>
      </c>
      <c r="E38" s="5" t="s">
        <v>62</v>
      </c>
      <c r="F38" s="2"/>
    </row>
    <row r="39" customFormat="false" ht="40" hidden="false" customHeight="true" outlineLevel="0" collapsed="false">
      <c r="A39" s="2" t="s">
        <v>255</v>
      </c>
      <c r="B39" s="2" t="n">
        <f aca="false">B37*B38</f>
        <v>800</v>
      </c>
      <c r="C39" s="2" t="s">
        <v>256</v>
      </c>
      <c r="D39" s="2" t="s">
        <v>257</v>
      </c>
      <c r="E39" s="2" t="s">
        <v>62</v>
      </c>
      <c r="F39" s="2"/>
    </row>
    <row r="40" customFormat="false" ht="40" hidden="false" customHeight="true" outlineLevel="0" collapsed="false">
      <c r="A40" s="5" t="s">
        <v>258</v>
      </c>
      <c r="B40" s="5" t="n">
        <v>40</v>
      </c>
      <c r="C40" s="5" t="s">
        <v>259</v>
      </c>
      <c r="D40" s="5" t="s">
        <v>260</v>
      </c>
      <c r="E40" s="5" t="s">
        <v>261</v>
      </c>
      <c r="F40" s="2"/>
    </row>
    <row r="41" customFormat="false" ht="40" hidden="false" customHeight="true" outlineLevel="0" collapsed="false">
      <c r="A41" s="2" t="s">
        <v>262</v>
      </c>
      <c r="B41" s="2" t="n">
        <v>600</v>
      </c>
      <c r="C41" s="2" t="s">
        <v>263</v>
      </c>
      <c r="D41" s="2" t="s">
        <v>264</v>
      </c>
      <c r="E41" s="2" t="s">
        <v>261</v>
      </c>
      <c r="F41" s="2"/>
    </row>
    <row r="42" customFormat="false" ht="25" hidden="false" customHeight="true" outlineLevel="0" collapsed="false">
      <c r="A42" s="2"/>
      <c r="B42" s="2"/>
      <c r="C42" s="2"/>
      <c r="D42" s="2"/>
      <c r="E42" s="2"/>
      <c r="F42" s="2"/>
    </row>
    <row r="43" customFormat="false" ht="25" hidden="false" customHeight="true" outlineLevel="0" collapsed="false">
      <c r="A43" s="2"/>
      <c r="B43" s="2"/>
      <c r="C43" s="2"/>
      <c r="D43" s="2"/>
      <c r="E43" s="2"/>
      <c r="F43" s="2"/>
    </row>
    <row r="44" customFormat="false" ht="25" hidden="false" customHeight="true" outlineLevel="0" collapsed="false">
      <c r="A44" s="2"/>
      <c r="B44" s="2"/>
      <c r="C44" s="2"/>
      <c r="D44" s="2"/>
      <c r="E44" s="2"/>
      <c r="F44" s="2"/>
    </row>
    <row r="45" customFormat="false" ht="25" hidden="false" customHeight="true" outlineLevel="0" collapsed="false">
      <c r="A45" s="2"/>
      <c r="B45" s="2"/>
      <c r="C45" s="2"/>
      <c r="D45" s="2"/>
      <c r="E45" s="2"/>
      <c r="F45" s="2"/>
    </row>
    <row r="46" customFormat="false" ht="25" hidden="false" customHeight="true" outlineLevel="0" collapsed="false">
      <c r="A46" s="2"/>
      <c r="B46" s="2"/>
      <c r="C46" s="2"/>
      <c r="D46" s="2"/>
      <c r="E46" s="2"/>
      <c r="F46" s="2"/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6C54"/>
    <pageSetUpPr fitToPage="false"/>
  </sheetPr>
  <dimension ref="A1:F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4" min="3" style="0" width="48"/>
    <col collapsed="false" customWidth="true" hidden="false" outlineLevel="0" max="5" min="5" style="0" width="35"/>
    <col collapsed="false" customWidth="true" hidden="false" outlineLevel="0" max="6" min="6" style="0" width="6"/>
  </cols>
  <sheetData>
    <row r="1" customFormat="false" ht="39" hidden="false" customHeight="true" outlineLevel="0" collapsed="false">
      <c r="A1" s="1" t="s">
        <v>265</v>
      </c>
      <c r="B1" s="1"/>
      <c r="C1" s="1"/>
      <c r="D1" s="1"/>
      <c r="E1" s="1"/>
      <c r="F1" s="1"/>
    </row>
    <row r="2" customFormat="false" ht="35" hidden="false" customHeight="true" outlineLevel="0" collapsed="false">
      <c r="A2" s="2" t="s">
        <v>266</v>
      </c>
      <c r="B2" s="2"/>
      <c r="C2" s="2"/>
      <c r="D2" s="2"/>
      <c r="E2" s="2"/>
      <c r="F2" s="2"/>
    </row>
    <row r="3" customFormat="false" ht="25" hidden="false" customHeight="true" outlineLevel="0" collapsed="false">
      <c r="A3" s="2"/>
      <c r="B3" s="2"/>
      <c r="C3" s="2"/>
      <c r="D3" s="2"/>
      <c r="E3" s="2"/>
      <c r="F3" s="2"/>
    </row>
    <row r="4" customFormat="false" ht="25" hidden="false" customHeight="true" outlineLevel="0" collapsed="false">
      <c r="A4" s="2"/>
      <c r="B4" s="2"/>
      <c r="C4" s="2"/>
      <c r="D4" s="2"/>
      <c r="E4" s="2"/>
      <c r="F4" s="2"/>
    </row>
    <row r="5" customFormat="false" ht="32" hidden="false" customHeight="true" outlineLevel="0" collapsed="false">
      <c r="A5" s="3" t="s">
        <v>267</v>
      </c>
      <c r="B5" s="3" t="s">
        <v>268</v>
      </c>
      <c r="C5" s="3" t="s">
        <v>269</v>
      </c>
      <c r="D5" s="3" t="s">
        <v>270</v>
      </c>
      <c r="E5" s="3" t="s">
        <v>242</v>
      </c>
      <c r="F5" s="2"/>
    </row>
    <row r="6" customFormat="false" ht="68" hidden="false" customHeight="true" outlineLevel="0" collapsed="false">
      <c r="A6" s="2" t="s">
        <v>271</v>
      </c>
      <c r="B6" s="2" t="s">
        <v>272</v>
      </c>
      <c r="C6" s="2" t="s">
        <v>273</v>
      </c>
      <c r="D6" s="2" t="s">
        <v>274</v>
      </c>
      <c r="E6" s="2" t="s">
        <v>275</v>
      </c>
      <c r="F6" s="2"/>
    </row>
    <row r="7" customFormat="false" ht="68" hidden="false" customHeight="true" outlineLevel="0" collapsed="false">
      <c r="A7" s="5" t="s">
        <v>276</v>
      </c>
      <c r="B7" s="5" t="s">
        <v>277</v>
      </c>
      <c r="C7" s="5" t="s">
        <v>278</v>
      </c>
      <c r="D7" s="5" t="s">
        <v>279</v>
      </c>
      <c r="E7" s="5" t="s">
        <v>280</v>
      </c>
      <c r="F7" s="2"/>
    </row>
    <row r="8" customFormat="false" ht="68" hidden="false" customHeight="true" outlineLevel="0" collapsed="false">
      <c r="A8" s="2" t="s">
        <v>281</v>
      </c>
      <c r="B8" s="2" t="s">
        <v>282</v>
      </c>
      <c r="C8" s="2" t="s">
        <v>283</v>
      </c>
      <c r="D8" s="2" t="s">
        <v>284</v>
      </c>
      <c r="E8" s="2" t="s">
        <v>285</v>
      </c>
      <c r="F8" s="2"/>
    </row>
    <row r="9" customFormat="false" ht="68" hidden="false" customHeight="true" outlineLevel="0" collapsed="false">
      <c r="A9" s="5" t="s">
        <v>286</v>
      </c>
      <c r="B9" s="5" t="s">
        <v>287</v>
      </c>
      <c r="C9" s="5" t="s">
        <v>288</v>
      </c>
      <c r="D9" s="5" t="s">
        <v>289</v>
      </c>
      <c r="E9" s="5" t="s">
        <v>290</v>
      </c>
      <c r="F9" s="2"/>
    </row>
    <row r="10" customFormat="false" ht="68" hidden="false" customHeight="true" outlineLevel="0" collapsed="false">
      <c r="A10" s="2" t="s">
        <v>291</v>
      </c>
      <c r="B10" s="2" t="s">
        <v>292</v>
      </c>
      <c r="C10" s="2" t="s">
        <v>293</v>
      </c>
      <c r="D10" s="2" t="s">
        <v>294</v>
      </c>
      <c r="E10" s="2" t="s">
        <v>295</v>
      </c>
      <c r="F10" s="2"/>
    </row>
    <row r="11" customFormat="false" ht="25" hidden="false" customHeight="true" outlineLevel="0" collapsed="false">
      <c r="A11" s="2"/>
      <c r="B11" s="2"/>
      <c r="C11" s="2"/>
      <c r="D11" s="2"/>
      <c r="E11" s="2"/>
      <c r="F11" s="2"/>
    </row>
    <row r="12" customFormat="false" ht="25" hidden="false" customHeight="true" outlineLevel="0" collapsed="false">
      <c r="A12" s="2"/>
      <c r="B12" s="2"/>
      <c r="C12" s="2"/>
      <c r="D12" s="2"/>
      <c r="E12" s="2"/>
      <c r="F12" s="2"/>
    </row>
    <row r="13" customFormat="false" ht="25" hidden="false" customHeight="true" outlineLevel="0" collapsed="false">
      <c r="A13" s="2"/>
      <c r="B13" s="2"/>
      <c r="C13" s="2"/>
      <c r="D13" s="2"/>
      <c r="E13" s="2"/>
      <c r="F13" s="2"/>
    </row>
    <row r="14" customFormat="false" ht="32" hidden="false" customHeight="true" outlineLevel="0" collapsed="false">
      <c r="A14" s="3" t="s">
        <v>296</v>
      </c>
      <c r="B14" s="3" t="s">
        <v>297</v>
      </c>
      <c r="C14" s="3" t="s">
        <v>298</v>
      </c>
      <c r="D14" s="3" t="s">
        <v>299</v>
      </c>
      <c r="E14" s="3" t="s">
        <v>207</v>
      </c>
      <c r="F14" s="2"/>
    </row>
    <row r="15" customFormat="false" ht="68" hidden="false" customHeight="true" outlineLevel="0" collapsed="false">
      <c r="A15" s="2" t="s">
        <v>300</v>
      </c>
      <c r="B15" s="2" t="s">
        <v>301</v>
      </c>
      <c r="C15" s="2" t="s">
        <v>302</v>
      </c>
      <c r="D15" s="2" t="s">
        <v>303</v>
      </c>
      <c r="E15" s="2" t="s">
        <v>304</v>
      </c>
      <c r="F15" s="2"/>
    </row>
    <row r="16" customFormat="false" ht="68" hidden="false" customHeight="true" outlineLevel="0" collapsed="false">
      <c r="A16" s="5" t="s">
        <v>305</v>
      </c>
      <c r="B16" s="5" t="s">
        <v>306</v>
      </c>
      <c r="C16" s="5" t="s">
        <v>307</v>
      </c>
      <c r="D16" s="5" t="s">
        <v>308</v>
      </c>
      <c r="E16" s="5" t="s">
        <v>304</v>
      </c>
      <c r="F16" s="2"/>
    </row>
    <row r="17" customFormat="false" ht="68" hidden="false" customHeight="true" outlineLevel="0" collapsed="false">
      <c r="A17" s="2" t="s">
        <v>309</v>
      </c>
      <c r="B17" s="2" t="s">
        <v>310</v>
      </c>
      <c r="C17" s="2" t="s">
        <v>311</v>
      </c>
      <c r="D17" s="2" t="s">
        <v>312</v>
      </c>
      <c r="E17" s="2" t="s">
        <v>304</v>
      </c>
      <c r="F17" s="2"/>
    </row>
    <row r="18" customFormat="false" ht="68" hidden="false" customHeight="true" outlineLevel="0" collapsed="false">
      <c r="A18" s="5" t="s">
        <v>313</v>
      </c>
      <c r="B18" s="5" t="s">
        <v>314</v>
      </c>
      <c r="C18" s="5" t="s">
        <v>315</v>
      </c>
      <c r="D18" s="5" t="s">
        <v>316</v>
      </c>
      <c r="E18" s="5" t="s">
        <v>317</v>
      </c>
      <c r="F18" s="2"/>
    </row>
    <row r="19" customFormat="false" ht="68" hidden="false" customHeight="true" outlineLevel="0" collapsed="false">
      <c r="A19" s="2" t="s">
        <v>318</v>
      </c>
      <c r="B19" s="2" t="s">
        <v>319</v>
      </c>
      <c r="C19" s="2" t="s">
        <v>320</v>
      </c>
      <c r="D19" s="2" t="s">
        <v>321</v>
      </c>
      <c r="E19" s="2" t="s">
        <v>322</v>
      </c>
      <c r="F19" s="2"/>
    </row>
    <row r="20" customFormat="false" ht="25" hidden="false" customHeight="true" outlineLevel="0" collapsed="false">
      <c r="A20" s="2"/>
      <c r="B20" s="2"/>
      <c r="C20" s="2"/>
      <c r="D20" s="2"/>
      <c r="E20" s="2"/>
      <c r="F20" s="2"/>
    </row>
    <row r="21" customFormat="false" ht="25" hidden="false" customHeight="true" outlineLevel="0" collapsed="false">
      <c r="A21" s="2"/>
      <c r="B21" s="2"/>
      <c r="C21" s="2"/>
      <c r="D21" s="2"/>
      <c r="E21" s="2"/>
      <c r="F21" s="2"/>
    </row>
    <row r="22" customFormat="false" ht="25" hidden="false" customHeight="true" outlineLevel="0" collapsed="false">
      <c r="A22" s="2"/>
      <c r="B22" s="2"/>
      <c r="C22" s="2"/>
      <c r="D22" s="2"/>
      <c r="E22" s="2"/>
      <c r="F22" s="2"/>
    </row>
    <row r="23" customFormat="false" ht="32" hidden="false" customHeight="true" outlineLevel="0" collapsed="false">
      <c r="A23" s="3" t="s">
        <v>323</v>
      </c>
      <c r="B23" s="3" t="s">
        <v>324</v>
      </c>
      <c r="C23" s="3" t="s">
        <v>115</v>
      </c>
      <c r="D23" s="3" t="s">
        <v>325</v>
      </c>
      <c r="E23" s="3" t="s">
        <v>207</v>
      </c>
      <c r="F23" s="2"/>
    </row>
    <row r="24" customFormat="false" ht="68" hidden="false" customHeight="true" outlineLevel="0" collapsed="false">
      <c r="A24" s="2" t="s">
        <v>326</v>
      </c>
      <c r="B24" s="2" t="s">
        <v>327</v>
      </c>
      <c r="C24" s="2" t="s">
        <v>328</v>
      </c>
      <c r="D24" s="2" t="s">
        <v>329</v>
      </c>
      <c r="E24" s="2" t="s">
        <v>330</v>
      </c>
      <c r="F24" s="2"/>
    </row>
    <row r="25" customFormat="false" ht="68" hidden="false" customHeight="true" outlineLevel="0" collapsed="false">
      <c r="A25" s="5" t="s">
        <v>331</v>
      </c>
      <c r="B25" s="5" t="s">
        <v>332</v>
      </c>
      <c r="C25" s="5" t="s">
        <v>333</v>
      </c>
      <c r="D25" s="5" t="s">
        <v>334</v>
      </c>
      <c r="E25" s="5" t="s">
        <v>330</v>
      </c>
      <c r="F25" s="2"/>
    </row>
    <row r="26" customFormat="false" ht="68" hidden="false" customHeight="true" outlineLevel="0" collapsed="false">
      <c r="A26" s="2" t="s">
        <v>335</v>
      </c>
      <c r="B26" s="2" t="s">
        <v>336</v>
      </c>
      <c r="C26" s="2" t="s">
        <v>337</v>
      </c>
      <c r="D26" s="2" t="s">
        <v>338</v>
      </c>
      <c r="E26" s="2" t="s">
        <v>330</v>
      </c>
      <c r="F26" s="2"/>
    </row>
    <row r="27" customFormat="false" ht="25" hidden="false" customHeight="true" outlineLevel="0" collapsed="false">
      <c r="A27" s="2"/>
      <c r="B27" s="2"/>
      <c r="C27" s="2"/>
      <c r="D27" s="2"/>
      <c r="E27" s="2"/>
      <c r="F27" s="2"/>
    </row>
    <row r="28" customFormat="false" ht="25" hidden="false" customHeight="true" outlineLevel="0" collapsed="false">
      <c r="A28" s="2"/>
      <c r="B28" s="2"/>
      <c r="C28" s="2"/>
      <c r="D28" s="2"/>
      <c r="E28" s="2"/>
      <c r="F28" s="2"/>
    </row>
    <row r="29" customFormat="false" ht="25" hidden="false" customHeight="true" outlineLevel="0" collapsed="false">
      <c r="A29" s="2"/>
      <c r="B29" s="2"/>
      <c r="C29" s="2"/>
      <c r="D29" s="2"/>
      <c r="E29" s="2"/>
      <c r="F29" s="2"/>
    </row>
    <row r="30" customFormat="false" ht="32" hidden="false" customHeight="true" outlineLevel="0" collapsed="false">
      <c r="A30" s="3" t="s">
        <v>339</v>
      </c>
      <c r="B30" s="3" t="s">
        <v>340</v>
      </c>
      <c r="C30" s="3" t="s">
        <v>341</v>
      </c>
      <c r="D30" s="3" t="s">
        <v>342</v>
      </c>
      <c r="E30" s="3" t="s">
        <v>242</v>
      </c>
      <c r="F30" s="2"/>
    </row>
    <row r="31" customFormat="false" ht="68" hidden="false" customHeight="true" outlineLevel="0" collapsed="false">
      <c r="A31" s="2" t="s">
        <v>275</v>
      </c>
      <c r="B31" s="2" t="s">
        <v>343</v>
      </c>
      <c r="C31" s="2" t="s">
        <v>344</v>
      </c>
      <c r="D31" s="2" t="s">
        <v>345</v>
      </c>
      <c r="E31" s="2" t="s">
        <v>346</v>
      </c>
      <c r="F31" s="2"/>
    </row>
    <row r="32" customFormat="false" ht="68" hidden="false" customHeight="true" outlineLevel="0" collapsed="false">
      <c r="A32" s="5" t="s">
        <v>347</v>
      </c>
      <c r="B32" s="5" t="s">
        <v>348</v>
      </c>
      <c r="C32" s="5" t="s">
        <v>349</v>
      </c>
      <c r="D32" s="5" t="s">
        <v>350</v>
      </c>
      <c r="E32" s="5" t="s">
        <v>351</v>
      </c>
      <c r="F32" s="2"/>
    </row>
    <row r="33" customFormat="false" ht="68" hidden="false" customHeight="true" outlineLevel="0" collapsed="false">
      <c r="A33" s="2" t="s">
        <v>352</v>
      </c>
      <c r="B33" s="2" t="s">
        <v>353</v>
      </c>
      <c r="C33" s="2" t="s">
        <v>354</v>
      </c>
      <c r="D33" s="2" t="s">
        <v>355</v>
      </c>
      <c r="E33" s="2" t="s">
        <v>356</v>
      </c>
      <c r="F33" s="2"/>
    </row>
    <row r="34" customFormat="false" ht="25" hidden="false" customHeight="true" outlineLevel="0" collapsed="false">
      <c r="A34" s="2"/>
      <c r="B34" s="2"/>
      <c r="C34" s="2"/>
      <c r="D34" s="2"/>
      <c r="E34" s="2"/>
      <c r="F34" s="2"/>
    </row>
    <row r="35" customFormat="false" ht="25" hidden="false" customHeight="true" outlineLevel="0" collapsed="false">
      <c r="A35" s="2"/>
      <c r="B35" s="2"/>
      <c r="C35" s="2"/>
      <c r="D35" s="2"/>
      <c r="E35" s="2"/>
      <c r="F35" s="2"/>
    </row>
    <row r="36" customFormat="false" ht="25" hidden="false" customHeight="true" outlineLevel="0" collapsed="false">
      <c r="A36" s="2"/>
      <c r="B36" s="2"/>
      <c r="C36" s="2"/>
      <c r="D36" s="2"/>
      <c r="E36" s="2"/>
      <c r="F36" s="2"/>
    </row>
    <row r="37" customFormat="false" ht="32" hidden="false" customHeight="true" outlineLevel="0" collapsed="false">
      <c r="A37" s="3" t="s">
        <v>357</v>
      </c>
      <c r="B37" s="3" t="s">
        <v>358</v>
      </c>
      <c r="C37" s="3" t="s">
        <v>359</v>
      </c>
      <c r="D37" s="3" t="s">
        <v>360</v>
      </c>
      <c r="E37" s="3" t="s">
        <v>242</v>
      </c>
      <c r="F37" s="2"/>
    </row>
    <row r="38" customFormat="false" ht="68" hidden="false" customHeight="true" outlineLevel="0" collapsed="false">
      <c r="A38" s="2" t="s">
        <v>326</v>
      </c>
      <c r="B38" s="2" t="s">
        <v>361</v>
      </c>
      <c r="C38" s="2" t="s">
        <v>362</v>
      </c>
      <c r="D38" s="2" t="s">
        <v>363</v>
      </c>
      <c r="E38" s="2" t="s">
        <v>364</v>
      </c>
      <c r="F38" s="2"/>
    </row>
    <row r="39" customFormat="false" ht="68" hidden="false" customHeight="true" outlineLevel="0" collapsed="false">
      <c r="A39" s="5" t="s">
        <v>331</v>
      </c>
      <c r="B39" s="5" t="s">
        <v>365</v>
      </c>
      <c r="C39" s="5" t="s">
        <v>366</v>
      </c>
      <c r="D39" s="5" t="s">
        <v>367</v>
      </c>
      <c r="E39" s="5" t="s">
        <v>364</v>
      </c>
      <c r="F39" s="2"/>
    </row>
    <row r="40" customFormat="false" ht="68" hidden="false" customHeight="true" outlineLevel="0" collapsed="false">
      <c r="A40" s="2" t="s">
        <v>335</v>
      </c>
      <c r="B40" s="2" t="s">
        <v>368</v>
      </c>
      <c r="C40" s="2" t="s">
        <v>369</v>
      </c>
      <c r="D40" s="2" t="s">
        <v>370</v>
      </c>
      <c r="E40" s="2" t="s">
        <v>371</v>
      </c>
      <c r="F40" s="2"/>
    </row>
    <row r="41" customFormat="false" ht="68" hidden="false" customHeight="true" outlineLevel="0" collapsed="false">
      <c r="A41" s="5" t="s">
        <v>372</v>
      </c>
      <c r="B41" s="5" t="s">
        <v>373</v>
      </c>
      <c r="C41" s="5" t="s">
        <v>374</v>
      </c>
      <c r="D41" s="5" t="s">
        <v>375</v>
      </c>
      <c r="E41" s="5" t="s">
        <v>376</v>
      </c>
      <c r="F41" s="2"/>
    </row>
    <row r="42" customFormat="false" ht="25" hidden="false" customHeight="true" outlineLevel="0" collapsed="false">
      <c r="A42" s="2"/>
      <c r="B42" s="2"/>
      <c r="C42" s="2"/>
      <c r="D42" s="2"/>
      <c r="E42" s="2"/>
      <c r="F42" s="2"/>
    </row>
    <row r="43" customFormat="false" ht="25" hidden="false" customHeight="true" outlineLevel="0" collapsed="false">
      <c r="A43" s="2"/>
      <c r="B43" s="2"/>
      <c r="C43" s="2"/>
      <c r="D43" s="2"/>
      <c r="E43" s="2"/>
      <c r="F43" s="2"/>
    </row>
    <row r="44" customFormat="false" ht="25" hidden="false" customHeight="true" outlineLevel="0" collapsed="false">
      <c r="A44" s="2"/>
      <c r="B44" s="2"/>
      <c r="C44" s="2"/>
      <c r="D44" s="2"/>
      <c r="E44" s="2"/>
      <c r="F44" s="2"/>
    </row>
    <row r="45" customFormat="false" ht="32" hidden="false" customHeight="true" outlineLevel="0" collapsed="false">
      <c r="A45" s="3" t="s">
        <v>377</v>
      </c>
      <c r="B45" s="3" t="s">
        <v>378</v>
      </c>
      <c r="C45" s="3" t="s">
        <v>379</v>
      </c>
      <c r="D45" s="3" t="s">
        <v>380</v>
      </c>
      <c r="E45" s="3" t="s">
        <v>381</v>
      </c>
      <c r="F45" s="2"/>
    </row>
    <row r="46" customFormat="false" ht="68" hidden="false" customHeight="true" outlineLevel="0" collapsed="false">
      <c r="A46" s="2" t="s">
        <v>382</v>
      </c>
      <c r="B46" s="2" t="s">
        <v>383</v>
      </c>
      <c r="C46" s="2" t="s">
        <v>384</v>
      </c>
      <c r="D46" s="2" t="s">
        <v>210</v>
      </c>
      <c r="E46" s="2" t="s">
        <v>385</v>
      </c>
      <c r="F46" s="2"/>
    </row>
    <row r="47" customFormat="false" ht="68" hidden="false" customHeight="true" outlineLevel="0" collapsed="false">
      <c r="A47" s="5" t="s">
        <v>386</v>
      </c>
      <c r="B47" s="5" t="s">
        <v>387</v>
      </c>
      <c r="C47" s="5" t="s">
        <v>388</v>
      </c>
      <c r="D47" s="5" t="s">
        <v>228</v>
      </c>
      <c r="E47" s="5" t="s">
        <v>389</v>
      </c>
      <c r="F47" s="2"/>
    </row>
    <row r="48" customFormat="false" ht="68" hidden="false" customHeight="true" outlineLevel="0" collapsed="false">
      <c r="A48" s="2" t="s">
        <v>390</v>
      </c>
      <c r="B48" s="2" t="s">
        <v>391</v>
      </c>
      <c r="C48" s="2" t="s">
        <v>392</v>
      </c>
      <c r="D48" s="2" t="s">
        <v>228</v>
      </c>
      <c r="E48" s="2" t="s">
        <v>393</v>
      </c>
      <c r="F48" s="2"/>
    </row>
    <row r="49" customFormat="false" ht="25" hidden="false" customHeight="true" outlineLevel="0" collapsed="false">
      <c r="A49" s="2"/>
      <c r="B49" s="2"/>
      <c r="C49" s="2"/>
      <c r="D49" s="2"/>
      <c r="E49" s="2"/>
      <c r="F49" s="2"/>
    </row>
    <row r="50" customFormat="false" ht="25" hidden="false" customHeight="true" outlineLevel="0" collapsed="false">
      <c r="A50" s="2"/>
      <c r="B50" s="2"/>
      <c r="C50" s="2"/>
      <c r="D50" s="2"/>
      <c r="E50" s="2"/>
      <c r="F50" s="2"/>
    </row>
    <row r="51" customFormat="false" ht="25" hidden="false" customHeight="true" outlineLevel="0" collapsed="false">
      <c r="A51" s="2"/>
      <c r="B51" s="2"/>
      <c r="C51" s="2"/>
      <c r="D51" s="2"/>
      <c r="E51" s="2"/>
      <c r="F51" s="2"/>
    </row>
    <row r="52" customFormat="false" ht="32" hidden="false" customHeight="true" outlineLevel="0" collapsed="false">
      <c r="A52" s="3" t="s">
        <v>394</v>
      </c>
      <c r="B52" s="3" t="s">
        <v>395</v>
      </c>
      <c r="C52" s="3" t="s">
        <v>396</v>
      </c>
      <c r="D52" s="3" t="s">
        <v>397</v>
      </c>
      <c r="E52" s="3" t="s">
        <v>381</v>
      </c>
      <c r="F52" s="2"/>
    </row>
    <row r="53" customFormat="false" ht="68" hidden="false" customHeight="true" outlineLevel="0" collapsed="false">
      <c r="A53" s="2" t="s">
        <v>398</v>
      </c>
      <c r="B53" s="2" t="s">
        <v>399</v>
      </c>
      <c r="C53" s="2" t="s">
        <v>400</v>
      </c>
      <c r="D53" s="2" t="s">
        <v>401</v>
      </c>
      <c r="E53" s="2" t="s">
        <v>402</v>
      </c>
      <c r="F53" s="2"/>
    </row>
    <row r="54" customFormat="false" ht="68" hidden="false" customHeight="true" outlineLevel="0" collapsed="false">
      <c r="A54" s="5" t="s">
        <v>403</v>
      </c>
      <c r="B54" s="5" t="s">
        <v>404</v>
      </c>
      <c r="C54" s="5" t="s">
        <v>405</v>
      </c>
      <c r="D54" s="5" t="s">
        <v>406</v>
      </c>
      <c r="E54" s="5" t="s">
        <v>407</v>
      </c>
      <c r="F54" s="2"/>
    </row>
    <row r="55" customFormat="false" ht="68" hidden="false" customHeight="true" outlineLevel="0" collapsed="false">
      <c r="A55" s="2" t="s">
        <v>408</v>
      </c>
      <c r="B55" s="2" t="s">
        <v>409</v>
      </c>
      <c r="C55" s="2" t="s">
        <v>410</v>
      </c>
      <c r="D55" s="2" t="s">
        <v>411</v>
      </c>
      <c r="E55" s="2" t="s">
        <v>412</v>
      </c>
      <c r="F55" s="2"/>
    </row>
    <row r="56" customFormat="false" ht="25" hidden="false" customHeight="true" outlineLevel="0" collapsed="false">
      <c r="A56" s="2"/>
      <c r="B56" s="2"/>
      <c r="C56" s="2"/>
      <c r="D56" s="2"/>
      <c r="E56" s="2"/>
      <c r="F56" s="2"/>
    </row>
    <row r="57" customFormat="false" ht="25" hidden="false" customHeight="true" outlineLevel="0" collapsed="false">
      <c r="A57" s="2"/>
      <c r="B57" s="2"/>
      <c r="C57" s="2"/>
      <c r="D57" s="2"/>
      <c r="E57" s="2"/>
      <c r="F57" s="2"/>
    </row>
    <row r="58" customFormat="false" ht="25" hidden="false" customHeight="true" outlineLevel="0" collapsed="false">
      <c r="A58" s="2"/>
      <c r="B58" s="2"/>
      <c r="C58" s="2"/>
      <c r="D58" s="2"/>
      <c r="E58" s="2"/>
      <c r="F58" s="2"/>
    </row>
    <row r="59" customFormat="false" ht="32" hidden="false" customHeight="true" outlineLevel="0" collapsed="false">
      <c r="A59" s="3" t="s">
        <v>358</v>
      </c>
      <c r="B59" s="3" t="s">
        <v>413</v>
      </c>
      <c r="C59" s="3" t="s">
        <v>414</v>
      </c>
      <c r="D59" s="3" t="s">
        <v>415</v>
      </c>
      <c r="E59" s="3" t="s">
        <v>207</v>
      </c>
      <c r="F59" s="2"/>
    </row>
    <row r="60" customFormat="false" ht="68" hidden="false" customHeight="true" outlineLevel="0" collapsed="false">
      <c r="A60" s="2" t="s">
        <v>326</v>
      </c>
      <c r="B60" s="2" t="s">
        <v>82</v>
      </c>
      <c r="C60" s="2" t="s">
        <v>416</v>
      </c>
      <c r="D60" s="2" t="s">
        <v>417</v>
      </c>
      <c r="E60" s="2" t="s">
        <v>418</v>
      </c>
      <c r="F60" s="2"/>
    </row>
    <row r="61" customFormat="false" ht="68" hidden="false" customHeight="true" outlineLevel="0" collapsed="false">
      <c r="A61" s="5" t="s">
        <v>419</v>
      </c>
      <c r="B61" s="5" t="s">
        <v>83</v>
      </c>
      <c r="C61" s="5" t="s">
        <v>420</v>
      </c>
      <c r="D61" s="5" t="s">
        <v>421</v>
      </c>
      <c r="E61" s="5" t="s">
        <v>418</v>
      </c>
      <c r="F61" s="2"/>
    </row>
    <row r="62" customFormat="false" ht="68" hidden="false" customHeight="true" outlineLevel="0" collapsed="false">
      <c r="A62" s="2" t="s">
        <v>422</v>
      </c>
      <c r="B62" s="2" t="s">
        <v>84</v>
      </c>
      <c r="C62" s="2" t="s">
        <v>420</v>
      </c>
      <c r="D62" s="2" t="s">
        <v>423</v>
      </c>
      <c r="E62" s="2" t="s">
        <v>418</v>
      </c>
      <c r="F62" s="2"/>
    </row>
    <row r="63" customFormat="false" ht="68" hidden="false" customHeight="true" outlineLevel="0" collapsed="false">
      <c r="A63" s="5" t="s">
        <v>335</v>
      </c>
      <c r="B63" s="5" t="s">
        <v>424</v>
      </c>
      <c r="C63" s="5" t="s">
        <v>425</v>
      </c>
      <c r="D63" s="5" t="s">
        <v>426</v>
      </c>
      <c r="E63" s="5" t="s">
        <v>418</v>
      </c>
      <c r="F63" s="2"/>
    </row>
    <row r="64" customFormat="false" ht="68" hidden="false" customHeight="true" outlineLevel="0" collapsed="false">
      <c r="A64" s="2" t="s">
        <v>372</v>
      </c>
      <c r="B64" s="2" t="s">
        <v>427</v>
      </c>
      <c r="C64" s="2" t="s">
        <v>428</v>
      </c>
      <c r="D64" s="2" t="s">
        <v>429</v>
      </c>
      <c r="E64" s="2" t="s">
        <v>418</v>
      </c>
      <c r="F64" s="2"/>
    </row>
    <row r="65" customFormat="false" ht="25" hidden="false" customHeight="true" outlineLevel="0" collapsed="false">
      <c r="A65" s="2"/>
      <c r="B65" s="2"/>
      <c r="C65" s="2"/>
      <c r="D65" s="2"/>
      <c r="E65" s="2"/>
      <c r="F65" s="2"/>
    </row>
    <row r="66" customFormat="false" ht="25" hidden="false" customHeight="true" outlineLevel="0" collapsed="false">
      <c r="A66" s="2"/>
      <c r="B66" s="2"/>
      <c r="C66" s="2"/>
      <c r="D66" s="2"/>
      <c r="E66" s="2"/>
      <c r="F66" s="2"/>
    </row>
    <row r="67" customFormat="false" ht="25" hidden="false" customHeight="true" outlineLevel="0" collapsed="false">
      <c r="A67" s="2"/>
      <c r="B67" s="2"/>
      <c r="C67" s="2"/>
      <c r="D67" s="2"/>
      <c r="E67" s="2"/>
      <c r="F67" s="2"/>
    </row>
    <row r="68" customFormat="false" ht="32" hidden="false" customHeight="true" outlineLevel="0" collapsed="false">
      <c r="A68" s="3" t="s">
        <v>430</v>
      </c>
      <c r="B68" s="3" t="s">
        <v>431</v>
      </c>
      <c r="C68" s="3" t="s">
        <v>432</v>
      </c>
      <c r="D68" s="3" t="s">
        <v>433</v>
      </c>
      <c r="E68" s="3" t="s">
        <v>207</v>
      </c>
      <c r="F68" s="2"/>
    </row>
    <row r="69" customFormat="false" ht="68" hidden="false" customHeight="true" outlineLevel="0" collapsed="false">
      <c r="A69" s="2" t="s">
        <v>326</v>
      </c>
      <c r="B69" s="2" t="s">
        <v>434</v>
      </c>
      <c r="C69" s="2" t="s">
        <v>435</v>
      </c>
      <c r="D69" s="2" t="s">
        <v>436</v>
      </c>
      <c r="E69" s="2" t="s">
        <v>437</v>
      </c>
      <c r="F69" s="2"/>
    </row>
    <row r="70" customFormat="false" ht="68" hidden="false" customHeight="true" outlineLevel="0" collapsed="false">
      <c r="A70" s="5" t="s">
        <v>331</v>
      </c>
      <c r="B70" s="5" t="s">
        <v>438</v>
      </c>
      <c r="C70" s="5" t="s">
        <v>439</v>
      </c>
      <c r="D70" s="5" t="s">
        <v>440</v>
      </c>
      <c r="E70" s="5" t="s">
        <v>437</v>
      </c>
      <c r="F70" s="2"/>
    </row>
    <row r="71" customFormat="false" ht="68" hidden="false" customHeight="true" outlineLevel="0" collapsed="false">
      <c r="A71" s="2" t="s">
        <v>335</v>
      </c>
      <c r="B71" s="2" t="s">
        <v>441</v>
      </c>
      <c r="C71" s="2" t="s">
        <v>442</v>
      </c>
      <c r="D71" s="2" t="s">
        <v>443</v>
      </c>
      <c r="E71" s="2" t="s">
        <v>437</v>
      </c>
      <c r="F71" s="2"/>
    </row>
    <row r="72" customFormat="false" ht="68" hidden="false" customHeight="true" outlineLevel="0" collapsed="false">
      <c r="A72" s="5" t="s">
        <v>372</v>
      </c>
      <c r="B72" s="5" t="s">
        <v>444</v>
      </c>
      <c r="C72" s="5" t="s">
        <v>445</v>
      </c>
      <c r="D72" s="5" t="s">
        <v>446</v>
      </c>
      <c r="E72" s="5" t="s">
        <v>437</v>
      </c>
      <c r="F72" s="2"/>
    </row>
    <row r="73" customFormat="false" ht="68" hidden="false" customHeight="true" outlineLevel="0" collapsed="false">
      <c r="A73" s="2" t="s">
        <v>447</v>
      </c>
      <c r="B73" s="2" t="s">
        <v>448</v>
      </c>
      <c r="C73" s="2" t="s">
        <v>449</v>
      </c>
      <c r="D73" s="2" t="s">
        <v>450</v>
      </c>
      <c r="E73" s="2" t="s">
        <v>437</v>
      </c>
      <c r="F73" s="2"/>
    </row>
    <row r="74" customFormat="false" ht="68" hidden="false" customHeight="true" outlineLevel="0" collapsed="false">
      <c r="A74" s="5" t="s">
        <v>451</v>
      </c>
      <c r="B74" s="5" t="s">
        <v>452</v>
      </c>
      <c r="C74" s="5" t="s">
        <v>453</v>
      </c>
      <c r="D74" s="5" t="s">
        <v>454</v>
      </c>
      <c r="E74" s="5" t="s">
        <v>437</v>
      </c>
      <c r="F74" s="2"/>
    </row>
    <row r="75" customFormat="false" ht="68" hidden="false" customHeight="true" outlineLevel="0" collapsed="false">
      <c r="A75" s="2" t="s">
        <v>455</v>
      </c>
      <c r="B75" s="2" t="s">
        <v>456</v>
      </c>
      <c r="C75" s="2" t="s">
        <v>457</v>
      </c>
      <c r="D75" s="2" t="s">
        <v>458</v>
      </c>
      <c r="E75" s="2" t="s">
        <v>459</v>
      </c>
      <c r="F75" s="2"/>
    </row>
    <row r="76" customFormat="false" ht="25" hidden="false" customHeight="true" outlineLevel="0" collapsed="false">
      <c r="A76" s="2"/>
      <c r="B76" s="2"/>
      <c r="C76" s="2"/>
      <c r="D76" s="2"/>
      <c r="E76" s="2"/>
      <c r="F76" s="2"/>
    </row>
    <row r="77" customFormat="false" ht="25" hidden="false" customHeight="true" outlineLevel="0" collapsed="false">
      <c r="A77" s="2"/>
      <c r="B77" s="2"/>
      <c r="C77" s="2"/>
      <c r="D77" s="2"/>
      <c r="E77" s="2"/>
      <c r="F77" s="2"/>
    </row>
    <row r="78" customFormat="false" ht="45" hidden="false" customHeight="true" outlineLevel="0" collapsed="false">
      <c r="A78" s="2" t="s">
        <v>460</v>
      </c>
      <c r="B78" s="2"/>
      <c r="C78" s="2"/>
      <c r="D78" s="2"/>
      <c r="E78" s="2"/>
      <c r="F78" s="2"/>
    </row>
    <row r="79" customFormat="false" ht="25" hidden="false" customHeight="true" outlineLevel="0" collapsed="false">
      <c r="A79" s="2"/>
      <c r="B79" s="2"/>
      <c r="C79" s="2"/>
      <c r="D79" s="2"/>
      <c r="E79" s="2"/>
      <c r="F79" s="2"/>
    </row>
    <row r="80" customFormat="false" ht="25" hidden="false" customHeight="true" outlineLevel="0" collapsed="false">
      <c r="A80" s="2"/>
      <c r="B80" s="2"/>
      <c r="C80" s="2"/>
      <c r="D80" s="2"/>
      <c r="E80" s="2"/>
      <c r="F80" s="2"/>
    </row>
    <row r="81" customFormat="false" ht="25" hidden="false" customHeight="true" outlineLevel="0" collapsed="false">
      <c r="A81" s="2"/>
      <c r="B81" s="2"/>
      <c r="C81" s="2"/>
      <c r="D81" s="2"/>
      <c r="E81" s="2"/>
      <c r="F81" s="2"/>
    </row>
  </sheetData>
  <mergeCells count="3">
    <mergeCell ref="A1:F1"/>
    <mergeCell ref="A2:F2"/>
    <mergeCell ref="A78:F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